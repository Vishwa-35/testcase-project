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02"/>
  <workbookPr codeName="ThisWorkbook"/>
  <mc:AlternateContent xmlns:mc="http://schemas.openxmlformats.org/markup-compatibility/2006">
    <mc:Choice Requires="x15">
      <x15ac:absPath xmlns:x15ac="http://schemas.microsoft.com/office/spreadsheetml/2010/11/ac" url="C:\Users\Vishva\Downloads\"/>
    </mc:Choice>
  </mc:AlternateContent>
  <xr:revisionPtr revIDLastSave="2717" documentId="8_{A4366B8D-CD91-47B7-9D56-69D4E1C7C406}" xr6:coauthVersionLast="47" xr6:coauthVersionMax="47" xr10:uidLastSave="{09780CA5-809F-49A8-9CB6-057A0A26A442}"/>
  <bookViews>
    <workbookView xWindow="-108" yWindow="-108" windowWidth="23256" windowHeight="12456" firstSheet="2" activeTab="2" xr2:uid="{00000000-000D-0000-FFFF-FFFF00000000}"/>
  </bookViews>
  <sheets>
    <sheet name="COVER_PG" sheetId="1" r:id="rId1"/>
    <sheet name="Specification_Revision_History" sheetId="3" r:id="rId2"/>
    <sheet name="VCU_Features_Test_Specification" sheetId="2" r:id="rId3"/>
    <sheet name="Bootloader_Test_Specification " sheetId="6" r:id="rId4"/>
    <sheet name="Critical_Issues_Tracker" sheetId="7" r:id="rId5"/>
  </sheets>
  <definedNames>
    <definedName name="_xlnm._FilterDatabase" localSheetId="3" hidden="1">'Bootloader_Test_Specification '!$A$10:$N$10</definedName>
    <definedName name="_xlnm._FilterDatabase" localSheetId="4" hidden="1">Critical_Issues_Tracker!$A$10:$N$10</definedName>
    <definedName name="_xlnm._FilterDatabase" localSheetId="2" hidden="1">VCU_Features_Test_Specification!$A$10:$N$10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5" i="6" l="1"/>
  <c r="L5" i="2"/>
  <c r="N5" i="7"/>
  <c r="M5" i="7"/>
  <c r="L5" i="7"/>
  <c r="F4" i="7"/>
  <c r="F4" i="2"/>
  <c r="F153" i="2"/>
  <c r="F154" i="2"/>
  <c r="F155" i="2"/>
  <c r="F156" i="2"/>
  <c r="F157" i="2"/>
  <c r="F158" i="2"/>
  <c r="F159" i="2"/>
  <c r="F160" i="2"/>
  <c r="F161" i="2"/>
  <c r="F152" i="2"/>
  <c r="F141" i="2"/>
  <c r="F142" i="2"/>
  <c r="F143" i="2"/>
  <c r="F144" i="2"/>
  <c r="F145" i="2"/>
  <c r="F146" i="2"/>
  <c r="F147" i="2"/>
  <c r="F148" i="2"/>
  <c r="F149" i="2"/>
  <c r="F150" i="2"/>
  <c r="F151"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96" i="2"/>
  <c r="F97" i="2"/>
  <c r="F98" i="2"/>
  <c r="F93" i="2"/>
  <c r="F94" i="2"/>
  <c r="F95" i="2"/>
  <c r="F92" i="2"/>
  <c r="F91" i="2"/>
  <c r="F90" i="2"/>
  <c r="F88" i="2"/>
  <c r="F89" i="2"/>
  <c r="F87" i="2"/>
  <c r="N5" i="6"/>
  <c r="M5" i="6"/>
  <c r="K5" i="6"/>
  <c r="J5" i="6" a="1"/>
  <c r="J5" i="6" s="1"/>
  <c r="F4" i="6"/>
  <c r="F3" i="6" a="1"/>
  <c r="F3" i="6" s="1"/>
  <c r="N5" i="2"/>
  <c r="M5" i="2"/>
  <c r="K5" i="2"/>
  <c r="J5" i="2" a="1"/>
  <c r="J5" i="2"/>
  <c r="F3" i="2" a="1"/>
  <c r="F3" i="2"/>
  <c r="F66" i="2"/>
  <c r="F65" i="2"/>
  <c r="F64" i="2"/>
  <c r="F63" i="2"/>
  <c r="F62" i="2"/>
  <c r="F61" i="2"/>
  <c r="F60" i="2"/>
  <c r="F59" i="2"/>
  <c r="F58" i="2"/>
  <c r="F57" i="2"/>
  <c r="F56" i="2"/>
  <c r="F55" i="2"/>
  <c r="F54" i="2"/>
  <c r="F53" i="2"/>
  <c r="F52" i="2"/>
  <c r="F51" i="2"/>
  <c r="F50" i="2"/>
  <c r="F49" i="2"/>
  <c r="F48" i="2"/>
  <c r="F47" i="2"/>
  <c r="F46" i="2"/>
  <c r="F45" i="2"/>
  <c r="F44" i="2"/>
  <c r="F43" i="2"/>
  <c r="F42" i="2"/>
  <c r="F41" i="2"/>
  <c r="F40" i="2"/>
  <c r="F39" i="2"/>
  <c r="F38" i="2"/>
  <c r="F37" i="2"/>
  <c r="F36" i="2"/>
  <c r="F35" i="2"/>
  <c r="F34" i="2"/>
  <c r="F33" i="2"/>
  <c r="F32" i="2"/>
  <c r="F31" i="2"/>
  <c r="F30" i="2"/>
  <c r="F29" i="2"/>
  <c r="F28" i="2"/>
  <c r="F83" i="2"/>
  <c r="F81" i="2"/>
  <c r="F80" i="2"/>
  <c r="F79" i="2"/>
  <c r="F78" i="2"/>
  <c r="F71" i="2"/>
  <c r="F67" i="2"/>
  <c r="F68" i="2"/>
  <c r="F69" i="2"/>
  <c r="F70" i="2"/>
  <c r="F72" i="2"/>
  <c r="F73" i="2"/>
  <c r="F74" i="2"/>
  <c r="F75" i="2"/>
  <c r="F76" i="2"/>
  <c r="F77" i="2"/>
  <c r="F82" i="2"/>
  <c r="F84" i="2"/>
  <c r="F85" i="2"/>
  <c r="F86" i="2"/>
  <c r="F27" i="2"/>
  <c r="F26" i="2"/>
  <c r="F25" i="2"/>
  <c r="F24" i="2"/>
  <c r="F23" i="2"/>
  <c r="F22" i="2"/>
  <c r="F21" i="2"/>
  <c r="F20" i="2"/>
  <c r="F19" i="2"/>
  <c r="F18" i="2"/>
  <c r="F17" i="2"/>
  <c r="F16" i="2"/>
  <c r="F15" i="2"/>
  <c r="F14" i="2"/>
  <c r="F13" i="2"/>
  <c r="F12" i="2"/>
  <c r="F11" i="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1">
    <bk>
      <extLst>
        <ext uri="{3e2802c4-a4d2-4d8b-9148-e3be6c30e623}">
          <xlrd:rvb i="0"/>
        </ext>
      </extLst>
    </bk>
  </future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<sst xmlns="http://schemas.openxmlformats.org/spreadsheetml/2006/main" count="4466" uniqueCount="1267">
  <si>
    <t>Test Report</t>
  </si>
  <si>
    <t xml:space="preserve">project overview </t>
  </si>
  <si>
    <t>Project Code</t>
  </si>
  <si>
    <t>U577</t>
  </si>
  <si>
    <t>VCU Platform</t>
  </si>
  <si>
    <t>VCU Eco ICE</t>
  </si>
  <si>
    <t>Hardware Part Number</t>
  </si>
  <si>
    <t>KE164029</t>
  </si>
  <si>
    <t>Software Part Number</t>
  </si>
  <si>
    <t>K2430020</t>
  </si>
  <si>
    <t>Project Stage</t>
  </si>
  <si>
    <t>Beta</t>
  </si>
  <si>
    <t>Developer</t>
  </si>
  <si>
    <t>Farhin</t>
  </si>
  <si>
    <t>Test Engineer</t>
  </si>
  <si>
    <t>Bharath</t>
  </si>
  <si>
    <t>Application SW Version Number</t>
  </si>
  <si>
    <t>59.00.08.0A</t>
  </si>
  <si>
    <t>Bootloader SW Version Number</t>
  </si>
  <si>
    <t>4.0.5</t>
  </si>
  <si>
    <t>Checksum value</t>
  </si>
  <si>
    <t>DBC detail</t>
  </si>
  <si>
    <t>TVS_IVN_Communication_Matrix_U577_V.16.dbc</t>
  </si>
  <si>
    <t>Release ID</t>
  </si>
  <si>
    <t>Name</t>
  </si>
  <si>
    <t>Date</t>
  </si>
  <si>
    <t>Test Specification prepared by</t>
  </si>
  <si>
    <t>Test Specification reviewed by</t>
  </si>
  <si>
    <t>Test Specifcation for ECO platform features</t>
  </si>
  <si>
    <t>DBC Detail</t>
  </si>
  <si>
    <t>Revision History</t>
  </si>
  <si>
    <t>S. No.</t>
  </si>
  <si>
    <t>Version</t>
  </si>
  <si>
    <t>Author</t>
  </si>
  <si>
    <t>Change contents</t>
  </si>
  <si>
    <t>Total No. Of Features</t>
  </si>
  <si>
    <t>No of features under test</t>
  </si>
  <si>
    <t>Total No. Of Requirements</t>
  </si>
  <si>
    <t>Total No. Of Test Cases</t>
  </si>
  <si>
    <t>Total No of Requirements</t>
  </si>
  <si>
    <t>Total No of test cases</t>
  </si>
  <si>
    <t>Total Pass</t>
  </si>
  <si>
    <t>Total Fail</t>
  </si>
  <si>
    <t>Total Not Executed</t>
  </si>
  <si>
    <t>Complexity Count:</t>
  </si>
  <si>
    <t>High</t>
  </si>
  <si>
    <t>Medium</t>
  </si>
  <si>
    <t>Low</t>
  </si>
  <si>
    <t>Test Cases Prepared By: Bharath</t>
  </si>
  <si>
    <t>Test Cases Executed By:</t>
  </si>
  <si>
    <t>Test Environment:</t>
  </si>
  <si>
    <t>SL.NO</t>
  </si>
  <si>
    <t>SW Part Number</t>
  </si>
  <si>
    <t>Feature</t>
  </si>
  <si>
    <t>Requirement ID
(DNG)</t>
  </si>
  <si>
    <t>Requirement Description</t>
  </si>
  <si>
    <t>Test Case ID</t>
  </si>
  <si>
    <t>Test Case summary</t>
  </si>
  <si>
    <t>Pre conditions</t>
  </si>
  <si>
    <t>Inputs</t>
  </si>
  <si>
    <t>Perodic time</t>
  </si>
  <si>
    <t>Test steps</t>
  </si>
  <si>
    <t xml:space="preserve">Expected result </t>
  </si>
  <si>
    <t>Status</t>
  </si>
  <si>
    <t>Reports</t>
  </si>
  <si>
    <t>Comments</t>
  </si>
  <si>
    <t>VCU Sleep Mode</t>
  </si>
  <si>
    <t>VCU should transition its power mode from normal to sleep upon successful vehicle lock.</t>
  </si>
  <si>
    <t>To verify the VCU mode transistion form normal mode to sleep mode upon vehicle lock.</t>
  </si>
  <si>
    <t xml:space="preserve">1.VCU should be in normal operating mode.
</t>
  </si>
  <si>
    <t>1."VCU_Sleep"signal on 0x310ID
2.Keyfob</t>
  </si>
  <si>
    <t>1.100ms</t>
  </si>
  <si>
    <t>1.Send "VCU_Sleep"signal value as 1.
2.Press the lock button on the keyfob.</t>
  </si>
  <si>
    <t>1.Vehicle should be locked and Cluster display should be turned off in less than 5 seconds.
2.0x310 message ID should be stopped.</t>
  </si>
  <si>
    <t>Pass</t>
  </si>
  <si>
    <t>VCU should enter sleep mode condition after successful find me operation, while the vehicle is in lock state</t>
  </si>
  <si>
    <t>To verify whether VCU is entering into sleepmode after the successful find me operation when the vehicle is in lock state.</t>
  </si>
  <si>
    <t>1.Vehicle should be in lock mode.
2.Cluster display should be turned off</t>
  </si>
  <si>
    <t xml:space="preserve">1.Press find me button on the keyfob.
</t>
  </si>
  <si>
    <t xml:space="preserve">1.TSL Should blink for 5 sec 
2.VCU should go into sleep mode and 0x310 message ID should stop tramitting on the CAN bus.
</t>
  </si>
  <si>
    <t>VCU should enter sleep mode after two unsuccessful unlock retries with the EHL, while the vehicle is in unlock state</t>
  </si>
  <si>
    <t>To Verify that VCU is entering into sleep mode after two unsuccessful unlock retries with the EHL when the vehicle is in unlock state.</t>
  </si>
  <si>
    <t>1.Vehicle should be in unlock mode.
2.Cluster display should be turned on.</t>
  </si>
  <si>
    <t>1.Press the unlock button. 
2.Press the Unlock button.</t>
  </si>
  <si>
    <t xml:space="preserve">1.VCU should go into sleep mode and 0x310 message ID should stop tramitting on the CAN bus.
</t>
  </si>
  <si>
    <t>VCU Wakeup</t>
  </si>
  <si>
    <t>VCU must detect Hardwire wakeup from the Vehicle system and switch to normal operating condition</t>
  </si>
  <si>
    <t>To verify that the VCU is detecting wakeup from the vehicle system and switch to normal mode.</t>
  </si>
  <si>
    <t>1.Keyfob</t>
  </si>
  <si>
    <t>NA</t>
  </si>
  <si>
    <t>1.Press any button on keyfob except lock button.</t>
  </si>
  <si>
    <t>1.VCU should wake up and enter into normal operating mode in less than 2 sec.
2.0x310 msg ID should be transmitting for every 100ms</t>
  </si>
  <si>
    <t>1.Press lock button.</t>
  </si>
  <si>
    <t>1.VCU should not wake up as well as it shouldn't enter into normal operatingmode.
2.0x310 msg ID should not be transmitted.</t>
  </si>
  <si>
    <t>Vehicle Lock</t>
  </si>
  <si>
    <t xml:space="preserve">VCU should be in normal operating mode to receive lock command from vehicle system </t>
  </si>
  <si>
    <t xml:space="preserve">To verify that VCU should be in normal operating mode to receive lock command from vehicle system </t>
  </si>
  <si>
    <t xml:space="preserve">1.Keyfob
</t>
  </si>
  <si>
    <t xml:space="preserve">1.Press lock button.
</t>
  </si>
  <si>
    <t xml:space="preserve">1.0x310 msg ID should be transmitting for every 100ms.
 </t>
  </si>
  <si>
    <t>VCU will receive lock request from vehicle sub-system over CAN bus</t>
  </si>
  <si>
    <t>To verify that VCU will receive lock request from vehicle sub-system over CAN bus</t>
  </si>
  <si>
    <t>1.Observe the following response from Cluster on 0x1A3 ID:
 $01 $00 $00 $R1 $00 $R3 $R2 $R4
(Note:R1,R3,R2,R4 are random numbers)</t>
  </si>
  <si>
    <t>1.Vehicle should be in lock mode.
2.Cluster display should be turned off.</t>
  </si>
  <si>
    <t>1.0x310 msg ID shouldn't be transmitting.
2.Observe the following response from Cluster on 0x1A3 ID:
 $01 $00 $00 $R1 $00 $R3 $R2 $R4
(Note:R1,R3,R2,R4 are random numbers)
3.VCU should not respond to the cluster lock request.</t>
  </si>
  <si>
    <t>Not Executed</t>
  </si>
  <si>
    <t>VCU should perform secure authentication with requestor sub-system for lock command request</t>
  </si>
  <si>
    <t>To verify that VCU should perform secure authentication with requestor sub-system for lock command request</t>
  </si>
  <si>
    <t xml:space="preserve">1.0x310 msg ID should be transmitting continuously for 100ms.
2.Observe the following response from Cluster and VCU:
0x1A3:$01 $00 $00 $R1 $00 $R3 $R2 $R4
0x1B3:$FF $R5 $00 $R8 $R7 $00 $00 $R6
(Note:R1,R3,R2,R4,R5,R6,R7,R8 are random numbers)
</t>
  </si>
  <si>
    <t>If authentication with the requestor sub-system fails, the VCU shall respond with an unsuccessful authentication status and abort further command processing.</t>
  </si>
  <si>
    <t>To verify that the VCU is reponding with unsuccessful authentication status and abort  further command processing.</t>
  </si>
  <si>
    <t>1.Vehicle should be in normal operating mode(Unlock state)</t>
  </si>
  <si>
    <t>1.0x300
2.0x500
3.Keyfob</t>
  </si>
  <si>
    <t>1.50ms
2.100ms</t>
  </si>
  <si>
    <t>1.Send "Engine_speed" signal greater than 0 on 0x300msg ID.
2.Send "Vehicle_speed" signal greater than 0 and "Side_stand_status" signal as 0 and "Engine_run_status" as 1 on 0x500msg ID 
3.Press the lock button on keyfob.</t>
  </si>
  <si>
    <t xml:space="preserve">1.0x310 msg ID should be transmitting continuously for 100ms.
2.Observe the following command from Cluster(0x1A3) 
0x1A3:$01 $00 $00 $R1 $00 $R3 $R2 $R4
</t>
  </si>
  <si>
    <t>1.Send "Engine_speed" signal greater than 0 on 0x300msg ID.
2.Send "Vehicle_speed" signal greater than 0 and "Side_stand_status" signal as 0 and "Engine_run_status" as 0 on 0x500msg ID 
3.Press the lock button on keyfob.</t>
  </si>
  <si>
    <t>1.Send "Engine_speed" signal greater than 0 on 0x300msg ID.
2.Send "Vehicle_speed" signal greater than 0 and "Side_stand_status" signal as 1 and "Engine_run_status" as 1 on 0x500msg ID 
3.Press the lock button on keyfob.</t>
  </si>
  <si>
    <t>1.Send "Engine_speed" signal greater than 0 on 0x300msg ID.
2.Send "Vehicle_speed" signal greater than 0 and "Side_stand_status" signal as 1 and "Engine_run_status" as 0 on 0x500msg ID 
3.Press the lock button on keyfob.</t>
  </si>
  <si>
    <t>1.Send "Engine_speed" signal greater than 0 on 0x300msg ID.
2.Send "Vehicle_speed" signal as 0 and "Side_stand_status" signal as 0 and "Engine_run_status" as 1 on 0x500msg ID 
3.Press the lock button on keyfob.</t>
  </si>
  <si>
    <t>1.Send "Engine_speed" signal greater than 0 on 0x300msg ID.
2.Send "Vehicle_speed" signal as 0 and "Side_stand_status" signal as 0 and "Engine_run_status" as 0 on 0x500msg ID 
3.Press the lock button on keyfob.</t>
  </si>
  <si>
    <r>
      <t xml:space="preserve">1.0x310 msg ID should be transmitting continuously for 100ms.
2.Observe the following communication between Cluster(0x1A3) and VCU(0x1B3) 
0x1A3:$01 $00 $00 $R1 $00 $R3 $R2 $R4
0x1B3:$FF $R5 $00 $R8 $R7 $00 $00 $R6
3.Observe invalid data in $R1 $R2 $R3 $R4 $R5 $R6 $R7 as below:
</t>
    </r>
    <r>
      <rPr>
        <b/>
        <sz val="12"/>
        <color rgb="FF000000"/>
        <rFont val="Calibri"/>
        <family val="2"/>
      </rPr>
      <t>0x1A3</t>
    </r>
    <r>
      <rPr>
        <sz val="12"/>
        <color rgb="FF000000"/>
        <rFont val="Calibri"/>
        <family val="2"/>
      </rPr>
      <t>:$FF $R1 $R2 $R3 $R4 $R5 $R6 $R7
0x1B3:$01 $02(Authentication failed)</t>
    </r>
  </si>
  <si>
    <t>1.Send "Engine_speed" signal greater than 0 on 0x300msg ID.
2.Send "Vehicle_speed" signal as 0 and "Side_stand_status" signal as 1 and "Engine_run_status" as 1 on 0x500msg ID 
3.Press the lock button on keyfob.</t>
  </si>
  <si>
    <t>1.Send "Engine_speed" signal greater than 0 on 0x300msg ID.
2.Send "Vehicle_speed" signal as 0 and "Side_stand_status" signal as 1 and "Engine_run_status" as 0 on 0x500msg ID 
3.Press the lock button on keyfob.</t>
  </si>
  <si>
    <t>1.Send "Engine_speed" signal  0 on 0x300msg ID.
2.Send "Vehicle_speed" signal greater than 0 and "Side_stand_status" signal as 0 and "Engine_run_status" as 1 on 0x500msg ID 
3.Press the lock button on keyfob.</t>
  </si>
  <si>
    <t>1.Send "Engine_speed" signal  0 on 0x300msg ID.
2.Send "Vehicle_speed" signal greater than 0 and "Side_stand_status" signal as 1 and "Engine_run_status" as 1 on 0x500msg ID 
3.Press the lock button on keyfob.</t>
  </si>
  <si>
    <t>1.Send "Engine_speed" signal  0 on 0x300msg ID.
2.Send "Vehicle_speed" signal greater than 0 and "Side_stand_status" signal as 1 and "Engine_run_status" as 0 on 0x500msg ID 
3.Press the lock button on keyfob.</t>
  </si>
  <si>
    <t>1.Send "Engine_speed" signal  greater than 0 on 0x300msg ID.
2.Send "Vehicle_speed" signal as 0 and "Side_stand_status" signal as 1 and "Engine_run_status" as 0 on 0x500msg ID 
3.Press the lock button on keyfob.</t>
  </si>
  <si>
    <t>1.Send "Engine_speed" signal   0 on 0x300msg ID.
2.Send "Vehicle_speed" signal as 0 and "Side_stand_status" signal as 0 and "Engine_run_status" as 1 on 0x500msg ID 
3.Press the lock button on keyfob.</t>
  </si>
  <si>
    <t>1.Send "Engine_speed" signal   0 on 0x300msg ID.
2.Send "Vehicle_speed" signal as 0 and "Side_stand_status" signal as 0 and "Engine_run_status" as 0 on 0x500msg ID 
3.Press the lock button on keyfob.</t>
  </si>
  <si>
    <t>1.Send "Engine_speed" signal   0 on 0x300msg ID.
2.Send "Vehicle_speed" signal as 0 and "Side_stand_status" signal as 1 and "Engine_run_status" as 1 on 0x500msg ID 
3.Press the lock button on keyfob.</t>
  </si>
  <si>
    <t>1.Send "Engine_speed" signal   0 on 0x300msg ID.
2.Send "Vehicle_speed" signal as 0 and "Side_stand_status" signal as 1 and "Engine_run_status" as 0 on 0x500msg ID 
3.Press the lock button on keyfob.</t>
  </si>
  <si>
    <t>If authentication with the requestor sub-system is successful, verify that the vehicle speed is zero and that either the side stand is ON, or the kill switch is ON, or the engine RPM is zero.</t>
  </si>
  <si>
    <t>To verify that authentication between cluster and VCU is successful when vehicle speed is zero and either the side stand is ON,or the kill switch is ON,or the engine rpm is zero.</t>
  </si>
  <si>
    <t xml:space="preserve">1.0x310 msg ID should be transmitting continuously for 100ms.
2.Observe the following communication between Cluster(0x1A3) and VCU(0x1B3) 
0x1A3:$01 $00 $00 $R1 $00 $R3 $R2 $R4
0x1B3:$FF $R5 $00 $R8 $R7 $00 $00 $R6
0x1A3:$FF $R1 $R2 $R3 $R4 $R5 $R6 $R7
</t>
  </si>
  <si>
    <t>VCU shall disable the ignition load relay</t>
  </si>
  <si>
    <t xml:space="preserve">To verify that VCU is disbling the ignition load relay after the successful lock request authentication </t>
  </si>
  <si>
    <t>1.Vehicle Speed should be zero and engine rpm  should be 0 or kill switch should be on or side stand status should be on.</t>
  </si>
  <si>
    <t>1.Press the lock button.</t>
  </si>
  <si>
    <t xml:space="preserve">1.Observe  the"Vehicle_status" signal on 0x310 msg ID should be 0 in less than 5 sec.
</t>
  </si>
  <si>
    <t>VCU shall request steering lock over CAN bus to electronic handle lock (EHL)module of vehicle</t>
  </si>
  <si>
    <t>To verify that the VCU is requesting steering lock over CAN bus to EHL module of the vehicle.</t>
  </si>
  <si>
    <t xml:space="preserve">1.Vehicle Speed should be zero and engine rpm  should be 0 or kill switch should be on or side stand status should be on.
</t>
  </si>
  <si>
    <t>1.Perform successful authentication between cluster and VCU(Execute T_49034_28 test case).</t>
  </si>
  <si>
    <t xml:space="preserve">1.0x310 msg ID should be transmitting continuously for 100ms.
2.Observe the following communication between Cluster(0x1A3) and VCU(0x1B3) and EHL.
0x1A3:$01 $00 $00 $R1 $00 $R3 $R2 $R4
0x1B3:$FF $R5 $00 $R8 $R7 $00 $00 $R6
0x1A3:$FF $R1 $R2 $R3 $R4 $R5 $R6 $R7
0x1B5:$01 $00 $00 $R1 $00 $R3 $R2 $R4
</t>
  </si>
  <si>
    <t>On successful authentication between VCU and EHL</t>
  </si>
  <si>
    <t>To verify the successful authentication between between VCU and EHL</t>
  </si>
  <si>
    <r>
      <rPr>
        <sz val="12"/>
        <color rgb="FF000000"/>
        <rFont val="Calibri"/>
        <family val="2"/>
      </rPr>
      <t xml:space="preserve">1.0x310 msg ID should be transmitting continuously for 100ms.
2.Observe the following communication between Cluster(0x1A3) and VCU(0x1B3) and EHL.
0x1A3:$01 $00 $00 $R1 $00 $R3 $R2 $R4
0x1B3:$FF $R5 $00 $R8 $R7 $00 $00 $R6
0x1A3:$FF $R1 $R2 $R3 $R4 $R5 $R6 $R7
0x1B5:$01 $00 $00 $R1 $00 $R3 $R2 $R4
0x1A5:$FF $R5 $00 $R8 $R7 $00 $00 $R6
0x1B5:$FF $R1 $R2 $R3 $R4 $R5 $R6 $R7
0x1A5:$01 </t>
    </r>
    <r>
      <rPr>
        <b/>
        <sz val="12"/>
        <color rgb="FF000000"/>
        <rFont val="Calibri"/>
        <family val="2"/>
      </rPr>
      <t xml:space="preserve">$01 </t>
    </r>
    <r>
      <rPr>
        <sz val="12"/>
        <color rgb="FF000000"/>
        <rFont val="Calibri"/>
        <family val="2"/>
      </rPr>
      <t>$00 $00 $00 $00 $00 $00
(</t>
    </r>
    <r>
      <rPr>
        <b/>
        <sz val="12"/>
        <color rgb="FF000000"/>
        <rFont val="Calibri"/>
        <family val="2"/>
      </rPr>
      <t>$01</t>
    </r>
    <r>
      <rPr>
        <sz val="12"/>
        <color rgb="FF000000"/>
        <rFont val="Calibri"/>
        <family val="2"/>
      </rPr>
      <t>:Authentication successful)</t>
    </r>
  </si>
  <si>
    <t>VCU will response successful authentication to requestor sub system</t>
  </si>
  <si>
    <t>To vverify that VCU will respond to successful authentication to requestor sub system(Cluster)</t>
  </si>
  <si>
    <r>
      <rPr>
        <sz val="12"/>
        <color rgb="FF000000"/>
        <rFont val="Calibri"/>
        <family val="2"/>
      </rPr>
      <t>1.Observe the following communication between Cluster(0x1A3) and VCU(0x1B3) and EHL.
0x1A3:$01 $00 $00 $R1 $00 $R3 $R2 $R4
0x1B3:$FF $R5 $00 $R8 $R7 $00 $00 $R6
0x1A3:$FF $R1 $R2 $R3 $R4 $R5 $R6 $R7
0x1B5:$01 $00 $00 $R1 $00 $R3 $R2 $R4
0x1A5:$FF $R5 $00 $R8 $R7 $00 $00 $R6
0x1B5:$FF $R1 $R2 $R3 $R4 $R5 $R6 $R7
0x1A5:$01 $01</t>
    </r>
    <r>
      <rPr>
        <b/>
        <sz val="12"/>
        <color rgb="FF000000"/>
        <rFont val="Calibri"/>
        <family val="2"/>
      </rPr>
      <t xml:space="preserve"> </t>
    </r>
    <r>
      <rPr>
        <sz val="12"/>
        <color rgb="FF000000"/>
        <rFont val="Calibri"/>
        <family val="2"/>
      </rPr>
      <t xml:space="preserve">$00 $00 $00 $00 $00 $00
0x1B3:$01 </t>
    </r>
    <r>
      <rPr>
        <b/>
        <sz val="12"/>
        <color rgb="FF000000"/>
        <rFont val="Calibri"/>
        <family val="2"/>
      </rPr>
      <t>$01</t>
    </r>
    <r>
      <rPr>
        <sz val="12"/>
        <color rgb="FF000000"/>
        <rFont val="Calibri"/>
        <family val="2"/>
      </rPr>
      <t xml:space="preserve"> $00 $00 $00 $00 $00 $00
($01:Authentication successful).
2.Cluster display should be turned off.
3.0x310 message ID should stop trasmitting after 5sec.
</t>
    </r>
  </si>
  <si>
    <t>VCU shall blink the TSL Flasher once to indicate successful vehicle lock operation</t>
  </si>
  <si>
    <t>To verify that VCU shall blink the TSL Flasher once to indicate successful vehicle lock operation</t>
  </si>
  <si>
    <t>1.Press lock button on the keyfob.</t>
  </si>
  <si>
    <r>
      <rPr>
        <sz val="12"/>
        <color rgb="FF000000"/>
        <rFont val="Calibri"/>
        <family val="2"/>
      </rPr>
      <t>1.Observe the following communication between Cluster(0x1A3) and VCU(0x1B3) and EHL.
0x1A3:$01 $00 $00 $R1 $00 $R3 $R2 $R4
0x1B3:$FF $R5 $00 $R8 $R7 $00 $00 $R6
0x1A3:$FF $R1 $R2 $R3 $R4 $R5 $R6 $R7
0x1B5:$01 $00 $00 $R1 $00 $R3 $R2 $R4
0x1A5:$FF $R5 $00 $R8 $R7 $00 $00 $R6
0x1B5:$FF $R1 $R2 $R3 $R4 $R5 $R6 $R7
0x1A5:$01 $01</t>
    </r>
    <r>
      <rPr>
        <b/>
        <sz val="12"/>
        <color rgb="FF000000"/>
        <rFont val="Calibri"/>
        <family val="2"/>
      </rPr>
      <t xml:space="preserve"> </t>
    </r>
    <r>
      <rPr>
        <sz val="12"/>
        <color rgb="FF000000"/>
        <rFont val="Calibri"/>
        <family val="2"/>
      </rPr>
      <t xml:space="preserve">$00 $00 $00 $00 $00 $00
0x1B3:$01 </t>
    </r>
    <r>
      <rPr>
        <b/>
        <sz val="12"/>
        <color rgb="FF000000"/>
        <rFont val="Calibri"/>
        <family val="2"/>
      </rPr>
      <t>$01</t>
    </r>
    <r>
      <rPr>
        <sz val="12"/>
        <color rgb="FF000000"/>
        <rFont val="Calibri"/>
        <family val="2"/>
      </rPr>
      <t xml:space="preserve"> $00 $00 $00 $00 $00 $00
($01:Authentication successful).
2.TSL flasher should blink once.
</t>
    </r>
  </si>
  <si>
    <t>On unsuccessful authentication between VCU and EHL </t>
  </si>
  <si>
    <t>1.Change the handle lock bar position from its original working position which is used for lock authentication mechanism.
2.Perform successful authentication between cluster and VCU(Execute T_49034_28 test case).</t>
  </si>
  <si>
    <r>
      <rPr>
        <sz val="12"/>
        <color rgb="FF000000"/>
        <rFont val="Calibri"/>
        <family val="2"/>
      </rPr>
      <t>1.Observe the following communication between Cluster(0x1A3) and VCU(0x1B3) and EHL.
0x1A3:$01 $00 $00 $R1 $00 $R3 $R2 $R4
0x1B3:$FF $R5 $00 $R8 $R7 $00 $00 $R6
0x1A3:$FF $R1 $R2 $R3 $R4 $R5 $R6 $R7
0x1B5:$01 $00 $00 $R1 $00 $R3 $R2 $R4
0x1A5:$FF $R5 $00 $R8 $R7 $00 $00 $R6
0x1B5:$FF $R1 $R2 $R3 $R4 $R5 $R6 $R7
0x1A5:$01 $02</t>
    </r>
    <r>
      <rPr>
        <b/>
        <sz val="12"/>
        <color rgb="FF000000"/>
        <rFont val="Calibri"/>
        <family val="2"/>
      </rPr>
      <t xml:space="preserve"> </t>
    </r>
    <r>
      <rPr>
        <sz val="12"/>
        <color rgb="FF000000"/>
        <rFont val="Calibri"/>
        <family val="2"/>
      </rPr>
      <t xml:space="preserve">$00 $00 $00 $00 $00 $00
($02:Authentication unsuccessful).
</t>
    </r>
  </si>
  <si>
    <t>VCU shall retry the authentication with EHL</t>
  </si>
  <si>
    <t>To verify that VCU is retrying  the authentication with EHL</t>
  </si>
  <si>
    <r>
      <rPr>
        <sz val="12"/>
        <color rgb="FF000000"/>
        <rFont val="Calibri"/>
        <family val="2"/>
      </rPr>
      <t>1.Observe the following communication between Cluster(0x1A3) and VCU(0x1B3) and EHL.
0x1A3:$01 $00 $00 $R1 $00 $R3 $R2 $R4
0x1B3:$FF $R5 $00 $R8 $R7 $00 $00 $R6
0x1A3:$FF $R1 $R2 $R3 $R4 $R5 $R6 $R7
0x1B5:$01 $00 $00 $R1 $00 $R3 $R2 $R4
0x1A5:$FF $R5 $00 $R8 $R7 $00 $00 $R6
0x1B5:$FF $R1 $R2 $R3 $R4 $R5 $R6 $R7
0x1A5:$01 $01</t>
    </r>
    <r>
      <rPr>
        <b/>
        <sz val="12"/>
        <color rgb="FF000000"/>
        <rFont val="Calibri"/>
        <family val="2"/>
      </rPr>
      <t xml:space="preserve"> </t>
    </r>
    <r>
      <rPr>
        <sz val="12"/>
        <color rgb="FF000000"/>
        <rFont val="Calibri"/>
        <family val="2"/>
      </rPr>
      <t xml:space="preserve">$03 $00 $00 $00 $00 $00
0x1B3:$01 $01 </t>
    </r>
    <r>
      <rPr>
        <b/>
        <sz val="12"/>
        <color rgb="FF000000"/>
        <rFont val="Calibri"/>
        <family val="2"/>
      </rPr>
      <t>$03</t>
    </r>
    <r>
      <rPr>
        <sz val="12"/>
        <color rgb="FF000000"/>
        <rFont val="Calibri"/>
        <family val="2"/>
      </rPr>
      <t xml:space="preserve"> $00 $00 $00 $00 $00
(</t>
    </r>
    <r>
      <rPr>
        <b/>
        <sz val="12"/>
        <color rgb="FF000000"/>
        <rFont val="Calibri"/>
        <family val="2"/>
      </rPr>
      <t>$03</t>
    </r>
    <r>
      <rPr>
        <sz val="12"/>
        <color rgb="FF000000"/>
        <rFont val="Calibri"/>
        <family val="2"/>
      </rPr>
      <t xml:space="preserve">:VCU is retying to lock the vehicle).
</t>
    </r>
  </si>
  <si>
    <t>EHL retry mechanism triggers, and the retry status is updated to VCU</t>
  </si>
  <si>
    <t>VCU shall respond to requestor sub system via CAN, as EHL authentication unsuccessful</t>
  </si>
  <si>
    <t>To verify that the VCU is responding  to requestor sub system via CAN, as EHL authentication unsuccessful</t>
  </si>
  <si>
    <r>
      <rPr>
        <sz val="12"/>
        <color rgb="FF000000"/>
        <rFont val="Calibri"/>
        <family val="2"/>
      </rPr>
      <t>1.Observe the following communication between Cluster(0x1A3) and VCU(0x1B3) and EHL.
0x1A3:$01 $00 $00 $R1 $00 $R3 $R2 $R4
0x1B3:$FF $R5 $00 $R8 $R7 $00 $00 $R6
0x1A3:$FF $R1 $R2 $R3 $R4 $R5 $R6 $R7
0x1B5:$01 $00 $00 $R1 $00 $R3 $R2 $R4
0x1A5:$FF $R5 $00 $R8 $R7 $00 $00 $R6
0x1B5:$FF $R1 $R2 $R3 $R4 $R5 $R6 $R7
0x1A5:$01 $02</t>
    </r>
    <r>
      <rPr>
        <b/>
        <sz val="12"/>
        <color rgb="FF000000"/>
        <rFont val="Calibri"/>
        <family val="2"/>
      </rPr>
      <t xml:space="preserve"> </t>
    </r>
    <r>
      <rPr>
        <sz val="12"/>
        <color rgb="FF000000"/>
        <rFont val="Calibri"/>
        <family val="2"/>
      </rPr>
      <t xml:space="preserve">$00 $00 $00 $00 $00 $00
0x1B3:$01 </t>
    </r>
    <r>
      <rPr>
        <b/>
        <sz val="12"/>
        <color rgb="FF000000"/>
        <rFont val="Calibri"/>
        <family val="2"/>
      </rPr>
      <t>$02</t>
    </r>
    <r>
      <rPr>
        <sz val="12"/>
        <color rgb="FF000000"/>
        <rFont val="Calibri"/>
        <family val="2"/>
      </rPr>
      <t xml:space="preserve"> $00 $00 $00 $00 $00 $00
(</t>
    </r>
    <r>
      <rPr>
        <b/>
        <sz val="12"/>
        <color rgb="FF000000"/>
        <rFont val="Calibri"/>
        <family val="2"/>
      </rPr>
      <t>$02</t>
    </r>
    <r>
      <rPr>
        <sz val="12"/>
        <color rgb="FF000000"/>
        <rFont val="Calibri"/>
        <family val="2"/>
      </rPr>
      <t xml:space="preserve">:Auth unsuccessful).
2."Bolt_status" signals value should be 02 on 0x1A7 msg ID
</t>
    </r>
  </si>
  <si>
    <t>VCU shall blink the TSL Flasher five times to indicate unsuccessful vehicle lock operation</t>
  </si>
  <si>
    <r>
      <rPr>
        <sz val="12"/>
        <color rgb="FF000000"/>
        <rFont val="Calibri"/>
        <family val="2"/>
      </rPr>
      <t>1.Observe the following communication between Cluster(0x1A3) and VCU(0x1B3) and EHL.
0x1A3:$01 $00 $00 $R1 $00 $R3 $R2 $R4
0x1B3:$FF $R5 $00 $R8 $R7 $00 $00 $R6
0x1A3:$FF $R1 $R2 $R3 $R4 $R5 $R6 $R7
0x1B5:$01 $00 $00 $R1 $00 $R3 $R2 $R4
0x1A5:$FF $R5 $00 $R8 $R7 $00 $00 $R6
0x1B5:$FF $R1 $R2 $R3 $R4 $R5 $R6 $R7
0x1A5:$01 $02</t>
    </r>
    <r>
      <rPr>
        <b/>
        <sz val="12"/>
        <color rgb="FF000000"/>
        <rFont val="Calibri"/>
        <family val="2"/>
      </rPr>
      <t xml:space="preserve"> </t>
    </r>
    <r>
      <rPr>
        <sz val="12"/>
        <color rgb="FF000000"/>
        <rFont val="Calibri"/>
        <family val="2"/>
      </rPr>
      <t xml:space="preserve">$00 $00 $00 $00 $00 $00
0x1B3:$01 </t>
    </r>
    <r>
      <rPr>
        <b/>
        <sz val="12"/>
        <color rgb="FF000000"/>
        <rFont val="Calibri"/>
        <family val="2"/>
      </rPr>
      <t>$02</t>
    </r>
    <r>
      <rPr>
        <sz val="12"/>
        <color rgb="FF000000"/>
        <rFont val="Calibri"/>
        <family val="2"/>
      </rPr>
      <t xml:space="preserve"> $00 $00 $00 $00 $00 $00
(</t>
    </r>
    <r>
      <rPr>
        <b/>
        <sz val="12"/>
        <color rgb="FF000000"/>
        <rFont val="Calibri"/>
        <family val="2"/>
      </rPr>
      <t>$02</t>
    </r>
    <r>
      <rPr>
        <sz val="12"/>
        <color rgb="FF000000"/>
        <rFont val="Calibri"/>
        <family val="2"/>
      </rPr>
      <t xml:space="preserve">:Auth unsuccessful).
2.TSL should blink 5 times .
</t>
    </r>
  </si>
  <si>
    <t>Unlock Vehicle</t>
  </si>
  <si>
    <t xml:space="preserve">VCU should be in normal operating mode to receive unlock request from vehicle sub-system  </t>
  </si>
  <si>
    <t xml:space="preserve">To verify that VCU should be in normal operating mode to receive unlock request from vehicle sub-system  </t>
  </si>
  <si>
    <t>1.Vehicle should be in sleep mode</t>
  </si>
  <si>
    <t>1.Press the Unlock button the keyfob</t>
  </si>
  <si>
    <t xml:space="preserve">1.0x310 message ID should be transmitted continuously for every 100ms.
</t>
  </si>
  <si>
    <t>VCU will receive unlock request from vehicle sub-system over CAN bus</t>
  </si>
  <si>
    <t>To verify that VCU will recieve unlock request from vehicle sub-system over CAN.</t>
  </si>
  <si>
    <t xml:space="preserve">1.0x310 message ID should be transmitted continuously for every 100ms.
2.Observe the following communication between Cluster(0x1A3) and VCU(0x1B3) and EHL.
0x1A3:$02 $00 $00 $R1 $00 $R3 $R2 $R4
</t>
  </si>
  <si>
    <t>VCU should perform secure authentication with requestor sub-system for unlock command request</t>
  </si>
  <si>
    <t>To verify that VCU should perform authentication with sub-system for unlock command request.</t>
  </si>
  <si>
    <t>1.0x310 message ID should be transmitted continuously for every 100ms.
2.Observe the following communication between Cluster(0x1A3) and VCU(0x1B3) and EHL.
0x1A3:$02 $00 $00 $R1 $00 $R3 $R2 $R4
0x1B3:$FF $R5 $00 $R8 $R7 $00 $00 $R6
0x1A3:$FF $R1 $R2 $R3 $R4 $R5 $R6 $R7</t>
  </si>
  <si>
    <t>If authentication unsuccessful with requestor sub system, VCU shall ignore the request and send negative response.</t>
  </si>
  <si>
    <t>To verify that  if authenticaton fials with requestor subsystem, VCU shall ignore the request and send negative response.</t>
  </si>
  <si>
    <r>
      <rPr>
        <sz val="12"/>
        <color rgb="FF000000"/>
        <rFont val="Calibri"/>
        <family val="2"/>
      </rPr>
      <t xml:space="preserve">1.0x310 message ID should be transmitted continuously for every 100ms.
2.Observe the following communication between Cluster(0x1A3) and VCU(0x1B3) and EHL.
0x1A3:$02 $00 $00 $R1 $00 $R3 $R2 $R4
0x1B3:$FF $R5 $00 $R8 $R7 $00 $00 $R6
0x1A3:$FF $R1 $R2 $R3 $R4 $R5 $R6 $R8
0x1B3:$02 </t>
    </r>
    <r>
      <rPr>
        <b/>
        <sz val="12"/>
        <color rgb="FF000000"/>
        <rFont val="Calibri"/>
        <family val="2"/>
      </rPr>
      <t>$02</t>
    </r>
    <r>
      <rPr>
        <sz val="12"/>
        <color rgb="FF000000"/>
        <rFont val="Calibri"/>
        <family val="2"/>
      </rPr>
      <t xml:space="preserve"> $00 $00 $00 $00 $00 $00
(</t>
    </r>
    <r>
      <rPr>
        <b/>
        <sz val="12"/>
        <color rgb="FF000000"/>
        <rFont val="Calibri"/>
        <family val="2"/>
      </rPr>
      <t>$02</t>
    </r>
    <r>
      <rPr>
        <sz val="12"/>
        <color rgb="FF000000"/>
        <rFont val="Calibri"/>
        <family val="2"/>
      </rPr>
      <t>:Authentication unsuccessful)</t>
    </r>
  </si>
  <si>
    <t>If authentication success with requestor sub system, VCU shall request steering unlock operation to electronic handle lock module of vehicle</t>
  </si>
  <si>
    <t>To verify that if authentication success with requestor sub system, VCU shall request steering unlock operation to electronic handle lock module of vehicle</t>
  </si>
  <si>
    <t>1.0x310 message ID should be transmitted continuously for every 100ms.
2.Observe the following communication between Cluster(0x1A3) and VCU(0x1B3) and EHL.
0x1A3:$02 $00 $00 $R1 $00 $R3 $R2 $R4
0x1B3:$FF $R5 $00 $R8 $R7 $00 $00 $R6
0x1A3:$FF $R1 $R2 $R3 $R4 $R5 $R6 $R7
0x1B5:$02 $00 $00 $R1 $00 $R3 $R2 $R4</t>
  </si>
  <si>
    <t>To verify the successful authentication between VCU and EHL</t>
  </si>
  <si>
    <r>
      <rPr>
        <sz val="12"/>
        <color rgb="FF000000"/>
        <rFont val="Calibri"/>
        <family val="2"/>
      </rPr>
      <t xml:space="preserve">1.0x310 message ID should be transmitted continuously for every 100ms.
2.Observe the following communication between Cluster(0x1A3) and VCU(0x1B3) and EHL.
0x1A3:$02 $00 $00 $R1 $00 $R3 $R2 $R4
0x1B3:$FF $R5 $00 $R8 $R7 $00 $00 $R6
0x1A3:$FF $R1 $R2 $R3 $R4 $R5 $R6 $R7
0x1B5:$02 $00 $00 $R1 $00 $R3 $R2 $R5
0x1A5:$FF $R1 $R2 $R3 $R4 $R5 $R6 $R7
0x1B5:$02 </t>
    </r>
    <r>
      <rPr>
        <b/>
        <sz val="12"/>
        <color rgb="FF000000"/>
        <rFont val="Calibri"/>
        <family val="2"/>
      </rPr>
      <t xml:space="preserve">$01 </t>
    </r>
    <r>
      <rPr>
        <sz val="12"/>
        <color rgb="FF000000"/>
        <rFont val="Calibri"/>
        <family val="2"/>
      </rPr>
      <t>$00 $00 $00 $00 $00 $00
(</t>
    </r>
    <r>
      <rPr>
        <b/>
        <sz val="12"/>
        <color rgb="FF000000"/>
        <rFont val="Calibri"/>
        <family val="2"/>
      </rPr>
      <t>$01:</t>
    </r>
    <r>
      <rPr>
        <sz val="12"/>
        <color rgb="FF000000"/>
        <rFont val="Calibri"/>
        <family val="2"/>
      </rPr>
      <t xml:space="preserve">Authentication  successful).
</t>
    </r>
  </si>
  <si>
    <t>To cerify that the VCU will response for successful authentication to requestor sub system</t>
  </si>
  <si>
    <r>
      <rPr>
        <sz val="12"/>
        <color rgb="FF000000"/>
        <rFont val="Calibri"/>
        <family val="2"/>
      </rPr>
      <t xml:space="preserve">1.0x310 message ID should be transmitted continuously for every 100ms.
2.Observe the following communication between Cluster(0x1A3) and VCU(0x1B3) and EHL.
0x1A3:$02 $00 $00 $R1 $00 $R3 $R2 $R4
0x1B3:$FF $R5 $00 $R8 $R7 $00 $00 $R6
0x1A3:$FF $R1 $R2 $R3 $R4 $R5 $R6 $R7
0x1B5:$02 $00 $00 $R1 $00 $R3 $R2 $R5
0x1A5:$FF $R1 $R2 $R3 $R4 $R5 $R6 $R7
0x1B5:$02 $02 $00 $00 $00 $00 $00 $00
0x1B3:$02 </t>
    </r>
    <r>
      <rPr>
        <b/>
        <sz val="12"/>
        <color rgb="FF000000"/>
        <rFont val="Calibri"/>
        <family val="2"/>
      </rPr>
      <t xml:space="preserve">$01 </t>
    </r>
    <r>
      <rPr>
        <sz val="12"/>
        <color rgb="FF000000"/>
        <rFont val="Calibri"/>
        <family val="2"/>
      </rPr>
      <t>$00 $00 $00 $00 $00 $00
(</t>
    </r>
    <r>
      <rPr>
        <b/>
        <sz val="12"/>
        <color rgb="FF000000"/>
        <rFont val="Calibri"/>
        <family val="2"/>
      </rPr>
      <t>$01:</t>
    </r>
    <r>
      <rPr>
        <sz val="12"/>
        <color rgb="FF000000"/>
        <rFont val="Calibri"/>
        <family val="2"/>
      </rPr>
      <t>Authentication  unsuccessful).
3.Cluster display should be turned on.</t>
    </r>
  </si>
  <si>
    <t>VCU shall blink the TSL Flasher twice to indicate successful vehicle unlock operation</t>
  </si>
  <si>
    <t>To verify that VCU shall blink the TSL Flasher twice to indicate successful vehicle unlock operation</t>
  </si>
  <si>
    <r>
      <rPr>
        <sz val="12"/>
        <color rgb="FF000000"/>
        <rFont val="Calibri"/>
        <family val="2"/>
      </rPr>
      <t xml:space="preserve">1.0x310 message ID should be transmitted continuously for every 100ms.
2.Observe the following communication between Cluster(0x1A3) and VCU(0x1B3) and EHL.
0x1A3:$02 $00 $00 $R1 $00 $R3 $R2 $R4
0x1B3:$FF $R5 $00 $R8 $R7 $00 $00 $R6
0x1A3:$FF $R1 $R2 $R3 $R4 $R5 $R6 $R7
0x1B5:$02 $00 $00 $R1 $00 $R3 $R2 $R5
0x1A5:$FF $R1 $R2 $R3 $R4 $R5 $R6 $R7
0x1B5:$02 $02 $00 $00 $00 $00 $00 $00
0x1B3:$02 </t>
    </r>
    <r>
      <rPr>
        <b/>
        <sz val="12"/>
        <color rgb="FF000000"/>
        <rFont val="Calibri"/>
        <family val="2"/>
      </rPr>
      <t xml:space="preserve">$01 </t>
    </r>
    <r>
      <rPr>
        <sz val="12"/>
        <color rgb="FF000000"/>
        <rFont val="Calibri"/>
        <family val="2"/>
      </rPr>
      <t>$00 $00 $00 $00 $00 $00
(</t>
    </r>
    <r>
      <rPr>
        <b/>
        <sz val="12"/>
        <color rgb="FF000000"/>
        <rFont val="Calibri"/>
        <family val="2"/>
      </rPr>
      <t>$01:</t>
    </r>
    <r>
      <rPr>
        <sz val="12"/>
        <color rgb="FF000000"/>
        <rFont val="Calibri"/>
        <family val="2"/>
      </rPr>
      <t xml:space="preserve">Authentication  successful).
3.TSL should blink twice.
</t>
    </r>
  </si>
  <si>
    <t>VCU shall enable the ignition load relay</t>
  </si>
  <si>
    <t>To verify that VCU is enabling the ignition load relay</t>
  </si>
  <si>
    <t>1."Vehicle_status" signal should be 1 on 0x310 msg ID</t>
  </si>
  <si>
    <t>VCU shall enable the seat and fuel cap opening for 10seconds</t>
  </si>
  <si>
    <t>To verify that VCU is able to enable the seat and fuel cap opening for 10seconds</t>
  </si>
  <si>
    <t>1.Press the Unlock button the keyfob.
2.Press the seat and fuel cap button.</t>
  </si>
  <si>
    <r>
      <rPr>
        <sz val="12"/>
        <color rgb="FF000000"/>
        <rFont val="Calibri"/>
        <family val="2"/>
      </rPr>
      <t xml:space="preserve">1.0x310 message ID should be transmitted continuously for every 100ms.
2.Observe the following communication between Cluster(0x1A3) and VCU(0x1B3) and EHL.
0x1A3:$02 $00 $00 $R1 $00 $R3 $R2 $R4
0x1B3:$FF $R5 $00 $R8 $R7 $00 $00 $R6
0x1A3:$FF $R1 $R2 $R3 $R4 $R5 $R6 $R7
0x1B5:$02 $00 $00 $R1 $00 $R3 $R2 $R5
0x1B5:$FF $R1 $R2 $R3 $R4 $R5 $R6 $R7
0x1A5:$02 $02 $00 $00 $00 $00 $00 $00
0x1B3:$02 </t>
    </r>
    <r>
      <rPr>
        <b/>
        <sz val="12"/>
        <color rgb="FF000000"/>
        <rFont val="Calibri"/>
        <family val="2"/>
      </rPr>
      <t xml:space="preserve">$01 </t>
    </r>
    <r>
      <rPr>
        <sz val="12"/>
        <color rgb="FF000000"/>
        <rFont val="Calibri"/>
        <family val="2"/>
      </rPr>
      <t>$00 $00 $00 $00 $00 $00
(</t>
    </r>
    <r>
      <rPr>
        <b/>
        <sz val="12"/>
        <color rgb="FF000000"/>
        <rFont val="Calibri"/>
        <family val="2"/>
      </rPr>
      <t>$01:</t>
    </r>
    <r>
      <rPr>
        <sz val="12"/>
        <color rgb="FF000000"/>
        <rFont val="Calibri"/>
        <family val="2"/>
      </rPr>
      <t>Authentication  successful).
3."Solenoid_Status" signal should be 0 on 0x310msg ID. for 10sec and it will be set back to 1.
4.seat and fuel cap mechanical buttons can be pressed in less than 10 sec and after that mechanical buttons cannot be pressed.</t>
    </r>
  </si>
  <si>
    <t>On Unsuccessful authentication between VCU and EHL</t>
  </si>
  <si>
    <t>To verify the Unsuccessful authentication between VCU and EHL</t>
  </si>
  <si>
    <t xml:space="preserve">1.Press the Unlock button the keyfob.
</t>
  </si>
  <si>
    <r>
      <rPr>
        <sz val="12"/>
        <color rgb="FF000000"/>
        <rFont val="Calibri"/>
        <family val="2"/>
      </rPr>
      <t xml:space="preserve">1.0x310 message ID should be transmitted continuously for every 100ms.
2.Observe the following communication between Cluster(0x1A3) and VCU(0x1B3) and EHL.
0x1A3:$02 $00 $00 $R1 $00 $R3 $R2 $R4
0x1B3:$FF $R5 $00 $R8 $R7 $00 $00 $R6
0x1A3:$FF $R1 $R2 $R3 $R4 $R5 $R6 $R7
0x1B5:$02 $00 $00 $R1 $00 $R3 $R2 $R5
0x1B5:$FF $R1 $R2 $R3 $R4 $R5 $R6 $R7
0x1B3:$02 </t>
    </r>
    <r>
      <rPr>
        <b/>
        <sz val="12"/>
        <color rgb="FF000000"/>
        <rFont val="Calibri"/>
        <family val="2"/>
      </rPr>
      <t xml:space="preserve">$02 </t>
    </r>
    <r>
      <rPr>
        <sz val="12"/>
        <color rgb="FF000000"/>
        <rFont val="Calibri"/>
        <family val="2"/>
      </rPr>
      <t>$00 $00 $00 $00 $00 $00
(</t>
    </r>
    <r>
      <rPr>
        <b/>
        <sz val="12"/>
        <color rgb="FF000000"/>
        <rFont val="Calibri"/>
        <family val="2"/>
      </rPr>
      <t>$02:</t>
    </r>
    <r>
      <rPr>
        <sz val="12"/>
        <color rgb="FF000000"/>
        <rFont val="Calibri"/>
        <family val="2"/>
      </rPr>
      <t xml:space="preserve">Authentication  unsuccessful).
</t>
    </r>
  </si>
  <si>
    <t>To verify that EHL retry mechanism triggers, and the retry status is updated to VCU</t>
  </si>
  <si>
    <t>1.0x300
2.0x500
3.0x1A7
3.Keyfob</t>
  </si>
  <si>
    <t>1.50ms
2.100ms
3.Event based.</t>
  </si>
  <si>
    <t>1.Send "Bolt_status" signal on 0x1A7 as 0.
2.press unlock button on keyfob.</t>
  </si>
  <si>
    <r>
      <rPr>
        <sz val="12"/>
        <color rgb="FF000000"/>
        <rFont val="Calibri"/>
        <family val="2"/>
      </rPr>
      <t xml:space="preserve">1.0x310 message ID should be transmitted continuously for every 100ms.
2.Observe the following communication between Cluster(0x1A3) and VCU(0x1B3) and EHL.
0x1A3:$02 $00 $00 $R1 $00 $R3 $R2 $R4
0x1B3:$FF $R5 $00 $R8 $R7 $00 $00 $R6
0x1A3:$FF $R1 $R2 $R3 $R4 $R5 $R6 $R7
0x1B5:$02 $00 $00 $R1 $00 $R3 $R2 $R5
0x1A5:$FF $R1 $R2 $R3 $R4 $R5 $R6 $R7
0x1B5:$02 $03 $00 $00 $00 $00 $00 $00
0x1B3:$02 </t>
    </r>
    <r>
      <rPr>
        <b/>
        <sz val="12"/>
        <color rgb="FF000000"/>
        <rFont val="Calibri"/>
        <family val="2"/>
      </rPr>
      <t xml:space="preserve">$03 </t>
    </r>
    <r>
      <rPr>
        <sz val="12"/>
        <color rgb="FF000000"/>
        <rFont val="Calibri"/>
        <family val="2"/>
      </rPr>
      <t>$00 $00 $00 $00 $00 $00
(</t>
    </r>
    <r>
      <rPr>
        <b/>
        <sz val="12"/>
        <color rgb="FF000000"/>
        <rFont val="Calibri"/>
        <family val="2"/>
      </rPr>
      <t>$03:VCU is retying to lock the vehicle</t>
    </r>
    <r>
      <rPr>
        <sz val="12"/>
        <color rgb="FF000000"/>
        <rFont val="Calibri"/>
        <family val="2"/>
      </rPr>
      <t xml:space="preserve">).
</t>
    </r>
  </si>
  <si>
    <t>To verify that VCU is able to  respond to requestor sub system via CAN, as EHL authentication unsuccessful</t>
  </si>
  <si>
    <r>
      <rPr>
        <sz val="12"/>
        <color rgb="FF000000"/>
        <rFont val="Calibri"/>
        <family val="2"/>
      </rPr>
      <t xml:space="preserve">1.0x310 message ID should be transmitted continuously for every 100ms.
2.Observe the following communication between Cluster(0x1A3) and VCU(0x1B3) and EHL.
0x1A3:$02 $00 $00 $R1 $00 $R3 $R2 $R4
0x1B3:$FF $R5 $00 $R8 $R7 $00 $00 $R6
0x1A3:$FF $R1 $R2 $R3 $R4 $R5 $R6 $R7
0x1B5:$02 $00 $00 $R1 $00 $R3 $R2 $R5
0x1A5:$FF $R1 $R2 $R3 $R4 $R5 $R6 $R7
0x1B5:$02 </t>
    </r>
    <r>
      <rPr>
        <b/>
        <sz val="12"/>
        <color rgb="FF000000"/>
        <rFont val="Calibri"/>
        <family val="2"/>
      </rPr>
      <t xml:space="preserve">$02 </t>
    </r>
    <r>
      <rPr>
        <sz val="12"/>
        <color rgb="FF000000"/>
        <rFont val="Calibri"/>
        <family val="2"/>
      </rPr>
      <t>$00 $00 $00 $00 $00 $00
(</t>
    </r>
    <r>
      <rPr>
        <b/>
        <sz val="12"/>
        <color rgb="FF000000"/>
        <rFont val="Calibri"/>
        <family val="2"/>
      </rPr>
      <t>$02:</t>
    </r>
    <r>
      <rPr>
        <sz val="12"/>
        <color rgb="FF000000"/>
        <rFont val="Calibri"/>
        <family val="2"/>
      </rPr>
      <t xml:space="preserve">Authentication  unsuccessful).
</t>
    </r>
  </si>
  <si>
    <t>Find me</t>
  </si>
  <si>
    <t>VCU should be in normal operating mode to receive findme command from vehicle system</t>
  </si>
  <si>
    <t>To verify that VCU is in normal operating mode to receive findme command from vehicle system</t>
  </si>
  <si>
    <t>1.Press the find me button on the keyfob.</t>
  </si>
  <si>
    <t>1.0x310 msg ID should be transmitting continuously for 100ms.
2.TSL should blink for 5 times.</t>
  </si>
  <si>
    <t>VCU will receive Find me request from vehicle sub-system over CAN bus</t>
  </si>
  <si>
    <t>1.0x310 msg ID should be transmitting continuously for 100ms.
2.Observe the following communication between Cluster(0x1A3) and VCU(0x1B3) and EHL.
0x1A3:$03 $00 $00 $R1 $00 $R3 $R2 $R4</t>
  </si>
  <si>
    <t>VCU should perform secure authentication with requestor sub-system for Find me command request</t>
  </si>
  <si>
    <t>To verify that VCU should perform secure authentication with requestor sub-system for Find me command request</t>
  </si>
  <si>
    <r>
      <rPr>
        <sz val="12"/>
        <color rgb="FF000000"/>
        <rFont val="Calibri"/>
        <family val="2"/>
      </rPr>
      <t xml:space="preserve">1.0x310 msg ID should be transmitting continuously for 100ms.
2.Observe the following communication between Cluster(0x1A3) and VCU(0x1B3) and EHL.
0x1A3:$03 $00 $00 $R1 $00 $R3 $R2 $R4
0x1B3:$FF $R5 $00 $R8 $R7 $00 $00 $R6
0x1A3:$FF $R1 $R2 $R3 $R4 $R5 $R6 $R7
0x1B3:$03 </t>
    </r>
    <r>
      <rPr>
        <b/>
        <sz val="12"/>
        <color rgb="FF000000"/>
        <rFont val="Calibri"/>
        <family val="2"/>
      </rPr>
      <t>$01</t>
    </r>
    <r>
      <rPr>
        <sz val="12"/>
        <color rgb="FF000000"/>
        <rFont val="Calibri"/>
        <family val="2"/>
      </rPr>
      <t xml:space="preserve"> $00 $00 $00 $00 $00 $00
(</t>
    </r>
    <r>
      <rPr>
        <b/>
        <sz val="12"/>
        <color rgb="FF000000"/>
        <rFont val="Calibri"/>
        <family val="2"/>
      </rPr>
      <t xml:space="preserve">$01:Authentication successful)
</t>
    </r>
  </si>
  <si>
    <t>If authentication unsuccessful with requestor sub system, VCU shall response unsuccessful authentication status with failure reason</t>
  </si>
  <si>
    <r>
      <rPr>
        <sz val="12"/>
        <color rgb="FF000000"/>
        <rFont val="Calibri"/>
        <family val="2"/>
      </rPr>
      <t xml:space="preserve">1.Observe the following communication between Cluster(0x1A3) and VCU(0x1B3) and EHL.
0x1A3:$03 $00 $00 $R1 $00 $R3 $R2 $R4
0x1B3:$FF $R5 $00 $R8 $R7 $00 $00 $R6
0x1A3:$FF $R1 $R2 $R3 $R4 $R5 $R6 $R7
0x1B3:$03 </t>
    </r>
    <r>
      <rPr>
        <b/>
        <sz val="12"/>
        <color rgb="FF000000"/>
        <rFont val="Calibri"/>
        <family val="2"/>
      </rPr>
      <t>$02</t>
    </r>
    <r>
      <rPr>
        <sz val="12"/>
        <color rgb="FF000000"/>
        <rFont val="Calibri"/>
        <family val="2"/>
      </rPr>
      <t xml:space="preserve"> $00 $00 $00 $00 $00 $00
(</t>
    </r>
    <r>
      <rPr>
        <b/>
        <sz val="12"/>
        <color rgb="FF000000"/>
        <rFont val="Calibri"/>
        <family val="2"/>
      </rPr>
      <t xml:space="preserve">$02:Authentication unsuccessful)
</t>
    </r>
    <r>
      <rPr>
        <sz val="12"/>
        <color rgb="FF000000"/>
        <rFont val="Calibri"/>
        <family val="2"/>
      </rPr>
      <t xml:space="preserve">3.TSL should not blink </t>
    </r>
  </si>
  <si>
    <t>If authentication success with requestor sub system, Blink the TSL Flasher for 5seconds</t>
  </si>
  <si>
    <r>
      <rPr>
        <sz val="12"/>
        <color rgb="FF000000"/>
        <rFont val="Calibri"/>
        <family val="2"/>
      </rPr>
      <t xml:space="preserve">1.0x310 msg ID should be transmitting continuously for 100ms.
2.Observe the following communication between Cluster(0x1A3) and VCU(0x1B3) and EHL.
0x1A3:$01 $00 $00 $R1 $00 $R3 $R2 $R4
0x1B3:$FF $R5 $00 $R8 $R7 $00 $00 $R6
0x1A3:$FF $R1 $R2 $R3 $R4 $R5 $R6 $R7
0x1B3:$03 </t>
    </r>
    <r>
      <rPr>
        <b/>
        <sz val="12"/>
        <color rgb="FF000000"/>
        <rFont val="Calibri"/>
        <family val="2"/>
      </rPr>
      <t>$01</t>
    </r>
    <r>
      <rPr>
        <sz val="12"/>
        <color rgb="FF000000"/>
        <rFont val="Calibri"/>
        <family val="2"/>
      </rPr>
      <t xml:space="preserve"> $00 $00 $00 $00 $00 $00
(</t>
    </r>
    <r>
      <rPr>
        <b/>
        <sz val="12"/>
        <color rgb="FF000000"/>
        <rFont val="Calibri"/>
        <family val="2"/>
      </rPr>
      <t xml:space="preserve">$01:Authentication successful)
</t>
    </r>
    <r>
      <rPr>
        <sz val="12"/>
        <color rgb="FF000000"/>
        <rFont val="Calibri"/>
        <family val="2"/>
      </rPr>
      <t>3.TSL should blink for 5 times</t>
    </r>
  </si>
  <si>
    <t>Seat and fuel cap unlock feature</t>
  </si>
  <si>
    <t>VCU should be in normal operating mode to receive seat and fuel cap unlock command from vehicle system</t>
  </si>
  <si>
    <t>To verify that the VCU should be in normal operating mode to receive seat and fuel cap unlock command from vehicle system</t>
  </si>
  <si>
    <t>1.Vehicle should be unlocked.</t>
  </si>
  <si>
    <t>1.Press the seat and fuel lock button on the keyfob.</t>
  </si>
  <si>
    <t xml:space="preserve">1.0x310 msg ID should be transmitting continuously for 100ms.
2.Observe the following communication between Cluster(0x1A3) and VCU(0x1B3) and EHL.
0x1A3:$04 $00 $00 $R1 $00 $R3 $R2 $R4
</t>
  </si>
  <si>
    <t>1.Vehicle should be locked.</t>
  </si>
  <si>
    <t xml:space="preserve">1.0x310 msg ID should be transmitting continuously for 100ms.
2.Observe the following communication between Cluster(0x1A3) and VCU(0x1B3) and EHL.
0x1A3:$04 $00 $00 $R1 $00 $R3 $R2 $R4
</t>
  </si>
  <si>
    <t>VCU will receive seat and fuel cap request from vehicle sub-system over CAN bus</t>
  </si>
  <si>
    <t>To verify that the VCU should  receive seat and fuel cap request from vehicle sub-system over CAN bus</t>
  </si>
  <si>
    <r>
      <rPr>
        <sz val="12"/>
        <color rgb="FF000000"/>
        <rFont val="Calibri"/>
        <family val="2"/>
      </rPr>
      <t xml:space="preserve">1.0x310 msg ID should be transmitting continuously for 100ms.
2.Observe the following communication between Cluster(0x1A3) and VCU(0x1B3) and EHL.
0x1A3:$04 $00 $00 $R1 $00 $R3 $R2 $R4
0x1B3:$FF $R5 $00 $R8 $R7 $00 $00 $R6
0x1A3:$FF $R1 $R2 $R3 $R4 $R5 $R6 $R7
0x1B3:$04 </t>
    </r>
    <r>
      <rPr>
        <b/>
        <sz val="12"/>
        <color rgb="FF000000"/>
        <rFont val="Calibri"/>
        <family val="2"/>
      </rPr>
      <t>$01</t>
    </r>
    <r>
      <rPr>
        <sz val="12"/>
        <color rgb="FF000000"/>
        <rFont val="Calibri"/>
        <family val="2"/>
      </rPr>
      <t xml:space="preserve"> $00 $00 $00 $00 $00 $00
(</t>
    </r>
    <r>
      <rPr>
        <b/>
        <sz val="12"/>
        <color rgb="FF000000"/>
        <rFont val="Calibri"/>
        <family val="2"/>
      </rPr>
      <t>$01:</t>
    </r>
    <r>
      <rPr>
        <sz val="12"/>
        <color rgb="FF000000"/>
        <rFont val="Calibri"/>
        <family val="2"/>
      </rPr>
      <t>Authentication successful)</t>
    </r>
  </si>
  <si>
    <t>VCU should perform secure authentication with requestor sub-system for seat and fuel command request</t>
  </si>
  <si>
    <t>To verify that the VCU should perform secure authentication with requestor sub-system for seat and fuel command request</t>
  </si>
  <si>
    <t>If authentication unsuccessful with requestor sub system, VCU shall response unsuccessful authentication status</t>
  </si>
  <si>
    <t>To verify that the authentication is  unsuccessful with requestor sub system, VCU shall response unsuccessful authentication status</t>
  </si>
  <si>
    <r>
      <rPr>
        <sz val="12"/>
        <color rgb="FF000000"/>
        <rFont val="Calibri"/>
        <family val="2"/>
      </rPr>
      <t xml:space="preserve">1.0x310 msg ID should be transmitting continuously for 100ms.
2.Observe the following communication between Cluster(0x1A3) and VCU(0x1B3) and EHL.
0x1A3:$04 $00 $00 $R1 $00 $R3 $R2 $R4
0x1B3:$FF $R5 $00 $R8 $R7 $00 $00 $R6
0x1A3:$FF $R1 $R2 $R3 $R4 $R5 $R6 $R7
0x1B3:$04 </t>
    </r>
    <r>
      <rPr>
        <b/>
        <sz val="12"/>
        <color rgb="FF000000"/>
        <rFont val="Calibri"/>
        <family val="2"/>
      </rPr>
      <t>$02</t>
    </r>
    <r>
      <rPr>
        <sz val="12"/>
        <color rgb="FF000000"/>
        <rFont val="Calibri"/>
        <family val="2"/>
      </rPr>
      <t xml:space="preserve"> $00 $00 $00 $00 $00 $00
(</t>
    </r>
    <r>
      <rPr>
        <b/>
        <sz val="12"/>
        <color rgb="FF000000"/>
        <rFont val="Calibri"/>
        <family val="2"/>
      </rPr>
      <t>$01:</t>
    </r>
    <r>
      <rPr>
        <sz val="12"/>
        <color rgb="FF000000"/>
        <rFont val="Calibri"/>
        <family val="2"/>
      </rPr>
      <t>Authentication unsuccessful)</t>
    </r>
  </si>
  <si>
    <t>1.Press the seat and fuel unlock button on the keyfob.</t>
  </si>
  <si>
    <t>If authentication successful with requestor sub system, check if vehicle speed is zero and  Side stand should be open or kill switch should be ON</t>
  </si>
  <si>
    <t>To verify that the authentication is  successful with requestor sub system, check if vehicle speed is zero and  Side stand should be open or kill switch should be ON</t>
  </si>
  <si>
    <t>1.Send "Vehicle_speed" signal as 0 and side_stand_status as 1 and Engine_run_status as 1 on 500 msg ID.
2.Press the seat and fuel lock button on the keyfob.</t>
  </si>
  <si>
    <r>
      <rPr>
        <sz val="12"/>
        <color rgb="FF000000"/>
        <rFont val="Calibri"/>
        <family val="2"/>
      </rPr>
      <t xml:space="preserve">1.0x310 msg ID should be transmitting continuously for 100ms.
2.Observe the following communication between Cluster(0x1A3) and VCU(0x1B3) and EHL.
0x1A3:$04 $00 $00 $R1 $00 $R3 $R2 $R4
0x1B3:$FF $R5 $00 $R8 $R7 $00 $00 $R6
0x1A3:$FF $R1 $R2 $R3 $R4 $R5 $R6 $R7
0x1B3:$04 </t>
    </r>
    <r>
      <rPr>
        <b/>
        <sz val="12"/>
        <color rgb="FF000000"/>
        <rFont val="Calibri"/>
        <family val="2"/>
      </rPr>
      <t>$01</t>
    </r>
    <r>
      <rPr>
        <sz val="12"/>
        <color rgb="FF000000"/>
        <rFont val="Calibri"/>
        <family val="2"/>
      </rPr>
      <t xml:space="preserve"> $00 $00 $00 $00 $00 $00
(</t>
    </r>
    <r>
      <rPr>
        <b/>
        <sz val="12"/>
        <color rgb="FF000000"/>
        <rFont val="Calibri"/>
        <family val="2"/>
      </rPr>
      <t>$01</t>
    </r>
    <r>
      <rPr>
        <sz val="12"/>
        <color rgb="FF000000"/>
        <rFont val="Calibri"/>
        <family val="2"/>
      </rPr>
      <t>:Authentication successful)"
3."Solenoid_Status" signal should be 0 on 0x310msg ID.</t>
    </r>
  </si>
  <si>
    <t>1.Send "Vehicle_speed" signal as 0 and side_stand_status as 1 and Engine_run_status as 0 on 500 msg ID.
2.Press the seat and fuel lock button on the keyfob.</t>
  </si>
  <si>
    <r>
      <rPr>
        <sz val="12"/>
        <color rgb="FF000000"/>
        <rFont val="Calibri"/>
        <family val="2"/>
      </rPr>
      <t xml:space="preserve">"1.0x310 msg ID should be transmitting continuously for 100ms.
2.Observe the following communication between Cluster(0x1A3) and VCU(0x1B3) and EHL.
0x1A3:$04 $00 $00 $R1 $00 $R3 $R2 $R4
0x1B3:$FF $R5 $00 $R8 $R7 $00 $00 $R6
0x1A3:$FF $R1 $R2 $R3 $R4 $R5 $R6 $R7
0x1B3:$04 </t>
    </r>
    <r>
      <rPr>
        <b/>
        <sz val="12"/>
        <color rgb="FF000000"/>
        <rFont val="Calibri"/>
        <family val="2"/>
      </rPr>
      <t>$01</t>
    </r>
    <r>
      <rPr>
        <sz val="12"/>
        <color rgb="FF000000"/>
        <rFont val="Calibri"/>
        <family val="2"/>
      </rPr>
      <t xml:space="preserve"> $00 $00 $00 $00 $00 $00
(</t>
    </r>
    <r>
      <rPr>
        <b/>
        <sz val="12"/>
        <color rgb="FF000000"/>
        <rFont val="Calibri"/>
        <family val="2"/>
      </rPr>
      <t>$01</t>
    </r>
    <r>
      <rPr>
        <sz val="12"/>
        <color rgb="FF000000"/>
        <rFont val="Calibri"/>
        <family val="2"/>
      </rPr>
      <t>:Authentication successful)"
3."Solenoid_Status" signal should be 0 on 0x310msg ID.</t>
    </r>
  </si>
  <si>
    <t>1.Send "Vehicle_speed" signal as 0 and side_stand_status as 0 and Engine_run_status as 1 on 500 msg ID.
2.Press the seat and fuel lock button on the keyfob.</t>
  </si>
  <si>
    <t>1.Send "Vehicle_speed" signal as 0 and side_stand_status as 0 and Engine_run_status as 0 on 500 msg ID.
2.Press the seat and fuel lock button on the keyfob.</t>
  </si>
  <si>
    <r>
      <rPr>
        <sz val="12"/>
        <color rgb="FF000000"/>
        <rFont val="Calibri"/>
      </rPr>
      <t xml:space="preserve">"1.0x310 msg ID should be transmitting continuously for 100ms.
2.Observe the following communication between Cluster(0x1A3) and VCU(0x1B3) and EHL.
0x1A3:$04 $00 $00 $R1 $00 $R3 $R2 $R4
0x1B3:$FF $R5 $00 $R8 $R7 $00 $00 $R6
0x1A3:$FF $R1 $R2 $R3 $R4 $R5 $R6 $R7
0x1B3:$04 </t>
    </r>
    <r>
      <rPr>
        <b/>
        <sz val="12"/>
        <color rgb="FF000000"/>
        <rFont val="Calibri"/>
      </rPr>
      <t>$01</t>
    </r>
    <r>
      <rPr>
        <sz val="12"/>
        <color rgb="FF000000"/>
        <rFont val="Calibri"/>
      </rPr>
      <t xml:space="preserve"> $00 $00 $00 $00 $00 $00
(</t>
    </r>
    <r>
      <rPr>
        <b/>
        <sz val="12"/>
        <color rgb="FF000000"/>
        <rFont val="Calibri"/>
      </rPr>
      <t>$01</t>
    </r>
    <r>
      <rPr>
        <sz val="12"/>
        <color rgb="FF000000"/>
        <rFont val="Calibri"/>
      </rPr>
      <t>:Authentication successful)"
3."Solenoid_Status" signal should be 1 on 0x310msg ID.</t>
    </r>
  </si>
  <si>
    <r>
      <rPr>
        <sz val="12"/>
        <color rgb="FF000000"/>
        <rFont val="Calibri"/>
        <family val="2"/>
      </rPr>
      <t xml:space="preserve">"1.0x310 msg ID should be transmitting continuously for 100ms.
2.Observe the following communication between Cluster(0x1A3) and VCU(0x1B3) and EHL.
0x1A3:$04 $00 $00 $R1 $00 $R3 $R2 $R4
0x1B3:$FF $R5 $00 $R8 $R7 $00 $00 $R6
0x1A3:$FF $R1 $R2 $R3 $R4 $R5 $R6 $R7
0x1B3:$04 </t>
    </r>
    <r>
      <rPr>
        <b/>
        <sz val="12"/>
        <color rgb="FF000000"/>
        <rFont val="Calibri"/>
        <family val="2"/>
      </rPr>
      <t>$01</t>
    </r>
    <r>
      <rPr>
        <sz val="12"/>
        <color rgb="FF000000"/>
        <rFont val="Calibri"/>
        <family val="2"/>
      </rPr>
      <t xml:space="preserve"> $00 $00 $00 $00 $00 $00
(</t>
    </r>
    <r>
      <rPr>
        <b/>
        <sz val="12"/>
        <color rgb="FF000000"/>
        <rFont val="Calibri"/>
        <family val="2"/>
      </rPr>
      <t>$01</t>
    </r>
    <r>
      <rPr>
        <sz val="12"/>
        <color rgb="FF000000"/>
        <rFont val="Calibri"/>
        <family val="2"/>
      </rPr>
      <t>:Authentication successful)"
3."Solenoid_Status" signal should be 1 on 0x310msg ID.</t>
    </r>
  </si>
  <si>
    <t>1.Vehicle should be unocked.</t>
  </si>
  <si>
    <t>1.Send "Vehicle_speed" signal as 23 and side_stand_status as 1 and Engine_run_status as 1 on 500 msg ID.
2.Press the seat and fuel lock button on the keyfob.</t>
  </si>
  <si>
    <t>1.Send "Vehicle_speed" signal as 23 and side_stand_status as 1 and Engine_run_status as 0 on 500 msg ID.
2.Press the seat and fuel lock button on the keyfob.</t>
  </si>
  <si>
    <t>1.Send "Vehicle_speed" signal as 23 and side_stand_status as 0 and Engine_run_status as 1 on 500 msg ID.
2.Press the seat and fuel lock button on the keyfob.</t>
  </si>
  <si>
    <t>1.Send "Vehicle_speed" signal as 23 and side_stand_status as 0 and Engine_run_status as 0 on 500 msg ID.
2.Press the seat and fuel lock button on the keyfob.</t>
  </si>
  <si>
    <t>To verify that the VCU is able to enable the seat and fuel cap opening for 10seconds</t>
  </si>
  <si>
    <t>1.Send "Vehicle_speed" signal as 23 and side_stand_status as 0 and Engine_run_status as 0 on 500 msg ID.
2.Press the seat and fuel cap unlock button on the keyfob.</t>
  </si>
  <si>
    <r>
      <rPr>
        <sz val="12"/>
        <color rgb="FF000000"/>
        <rFont val="Calibri"/>
        <family val="2"/>
      </rPr>
      <t xml:space="preserve">"1.0x310 msg ID should be transmitting continuously for 100ms.
2.Observe the following communication between Cluster(0x1A3) and VCU(0x1B3) and EHL.
0x1A3:$04 $00 $00 $R1 $00 $R3 $R2 $R4
0x1B3:$FF $R5 $00 $R8 $R7 $00 $00 $R6
0x1A3:$FF $R1 $R2 $R3 $R4 $R5 $R6 $R7
0x1B3:$04 </t>
    </r>
    <r>
      <rPr>
        <b/>
        <sz val="12"/>
        <color rgb="FF000000"/>
        <rFont val="Calibri"/>
        <family val="2"/>
      </rPr>
      <t>$01</t>
    </r>
    <r>
      <rPr>
        <sz val="12"/>
        <color rgb="FF000000"/>
        <rFont val="Calibri"/>
        <family val="2"/>
      </rPr>
      <t xml:space="preserve"> $00 $00 $00 $00 $00 $00
(</t>
    </r>
    <r>
      <rPr>
        <b/>
        <sz val="12"/>
        <color rgb="FF000000"/>
        <rFont val="Calibri"/>
        <family val="2"/>
      </rPr>
      <t>$01</t>
    </r>
    <r>
      <rPr>
        <sz val="12"/>
        <color rgb="FF000000"/>
        <rFont val="Calibri"/>
        <family val="2"/>
      </rPr>
      <t xml:space="preserve">:Authentication successful)"
3."Solenoid_Status" signal should be 0 on 0x310msg ID. for 10sec and it will be set back to 1.
4.seat and fuel cap mechanical buttons can be pressed in less than 10 sec and after that mechanical buttons cannot be pressed.
</t>
    </r>
  </si>
  <si>
    <t>KE164039</t>
  </si>
  <si>
    <t>BMS Error Layout</t>
  </si>
  <si>
    <t>HDC error should be raised,No MIL,No Beep when HDC error is raise in 0x15 msg ID and "s_StatusInfo_FaultStatus" signal set to 1.</t>
  </si>
  <si>
    <t>To verify that HDC error is raised  with No MIL,No Beep when HDC error is raise in 0x15 msg ID and "s_StatusInfo_FaultStatus" signal set to 1.</t>
  </si>
  <si>
    <t xml:space="preserve">1.VCU should be configured to U546V1 by sending the following request on 0x7B3 and expected postive reponse should be observed on 0x71A :
Tx:$04 $2E $F1 $B1 $07 $00 $00 $00 
Rx:$03 $6E $F1 $B1
</t>
  </si>
  <si>
    <t>1.0x10
2.0x40
3.0x15
4.x610</t>
  </si>
  <si>
    <t>1.500ms
2.500ms
3.100ms
4.10ms</t>
  </si>
  <si>
    <t xml:space="preserve">1.Send SOC greater than 1%. in 0x10  msg ID.
2.Send the following request on 0x15  msg ID:
0x15:$02 $00 $00 $00 $00 $00 $00 $00
3.Send "s_StatusInfo_FaultStatus" as 1 in 0x610 msg ID.
</t>
  </si>
  <si>
    <t xml:space="preserve">1.Bit 0 should be equal to "1" on 0x788 msg ID.
2."s_CLUIndication_MILSts" and "s_CLUIndication_BeepSts" should be 0 on 0x775 msg ID.
</t>
  </si>
  <si>
    <t>1.VCU should be configured to U546V2 by sending the following request on 0x7B3 and expected postive reponse should be observed on 0x71A :
Tx:$04 $2E $F1 $B1 $06 $00 $00 $00 
Rx:$03 $6E $F1 $B1</t>
  </si>
  <si>
    <t>1.0x10
2.0x18
3.0x15
4.0x610
5.0x40
6.0x41</t>
  </si>
  <si>
    <t>500ms
500ms
100ms
10ms
1000ms
1000ms</t>
  </si>
  <si>
    <t xml:space="preserve">1.Send the following requests cyclically for 1sec
0x40:$00 $00 $0F $00 $00 $00 $00 $00 
0x41:$00 $00 $0F $00 $00 $00 $00 $00 
2.Send SOC greater than 1% in 0x10 and 0x18 msg ID
3.Send the following request cyclically  for 100ms:
0x15:$02 $00 $00 $00 $00 $00 $00
4.Send the following request cyclically  for 10ms:
0x610:$10 $00 $00 $00 $00 $00 $00 $00
</t>
  </si>
  <si>
    <t>1.Bit0 in 0x788 msg ID should be raised to 1.
2."s_CLUIndication_MILSts" and "s_CLUIndication_BeepSts" should be 0 on 0x775 msg ID.</t>
  </si>
  <si>
    <t>To verify that HDC error is raised  with No MIL,No Beep when HDC error is raise in 0x1D msg ID and "s_StatusInfo_FaultStatus" signal set to 1.</t>
  </si>
  <si>
    <t xml:space="preserve">1.Send the following requests cyclically for 1sec
0x40:$00 $00 $0F $00 $00 $00 $00 $00 
0x41:$00 $00 $0F $00 $00 $00 $00 $00 
2.Send SOC greater than 1% in 0x10 and 0x18 msg ID
3.Send the following request cyclically  for 100ms:
0x1D:$02 $00 $00 $00 $00 $00 $00
4.Send the following request cyclically  for 10ms:
0x610:$10 $00 $00 $00 $00 $00 $00 $00
</t>
  </si>
  <si>
    <t>DI2T error should be raised,No MIL,No Beep when DI2T error is raise in 0x15 msg ID and "s_StatusInfo_FaultStatus" signal set to 1.</t>
  </si>
  <si>
    <t>To verify that DI2T error is raised  with No MIL,No Beep when DI2T error is raise in 0x15 msg ID and "s_StatusInfo_FaultStatus" signal set to 1.</t>
  </si>
  <si>
    <t xml:space="preserve">1.Send SOC greater than 1%. in 0x10  msg ID.
2.Send the following request on 0x15   msg ID:
0x15:$04 $00 $00 $00 $00 $00 $00 $00
3.Send "s_StatusInfo_FaultStatus" as 1 in 0x610 msg ID.
</t>
  </si>
  <si>
    <t xml:space="preserve">1.Send the following requests cyclically for 1sec
0x40:$00 $00 $0F $00 $00 $00 $00 $00 
0x41:$00 $00 $0F $00 $00 $00 $00 $00 
2.Send SOC greater than 1% in 0x10 and 0x18 msg ID
3.Send the following request cyclically  for 100ms:
0x15:$04 $00 $00 $00 $00 $00 $00
4.Send the following request cyclically  for 10ms:
0x610:$10 $00 $00 $00 $00 $00 $00 $00
</t>
  </si>
  <si>
    <t>To verify that DI2T error is raised  with No MIL,No Beep when DI2T error is raise in 0x1D msg ID and "s_StatusInfo_FaultStatus" signal set to 1.</t>
  </si>
  <si>
    <t>1.VCU should be configured to U546V1 by sending the following request on 0x7B3 and expected postive reponse should be observed on 0x71A :
Tx:$04 $2E $F1 $B1 $06 $00 $00 $00 
Rx:$03 $6E $F1 $B1</t>
  </si>
  <si>
    <t xml:space="preserve">1.Send the following requests cyclically for 1sec
0x40:$00 $00 $0F $00 $00 $00 $00 $00 
0x41:$00 $00 $0F $00 $00 $00 $00 $00 
2.Send SOC greater than 1% in 0x10 and 0x18 msg ID
3.Send the following request cyclically  for 100ms:
0x1D:$04 $00 $00 $00 $00 $00 $00
4.Send the following request cyclically  for 10ms:
0x610:$10 $00 $00 $00 $00 $00 $00 $00
</t>
  </si>
  <si>
    <t>LTD error should be raised,No MIL,No Beep when LTD error is raise in 0x15 msg ID and "s_StatusInfo_FaultStatus" signal set to 1.</t>
  </si>
  <si>
    <t>To verify that LTD error is raised  with No MIL,No Beep when LTD error is raise in 0x15 msg ID and "s_StatusInfo_FaultStatus" signal set to 1.</t>
  </si>
  <si>
    <t xml:space="preserve">1.Send SOC greater than 1%. in 0x10  msg ID.
2.Send the following request on 0x15  msg ID:
0x15:$08 $00 $00 $00 $00 $00 $00 $00
3.Send "s_StatusInfo_FaultStatus" as 1 in 0x610 msg ID.
</t>
  </si>
  <si>
    <t xml:space="preserve">1.Send the following requests cyclically for 1sec
0x40:$00 $00 $0F $00 $00 $00 $00 $00 
0x41:$00 $00 $0F $00 $00 $00 $00 $00 
2.Send SOC greater than 1% in 0x10 and 0x18 msg ID
3.Send the following request cyclically  for 100ms:
0x15:$08 $00 $00 $00 $00 $00 $00
4.Send the following request cyclically  for 10ms:
0x610:$10 $00 $00 $00 $00 $00 $00 $00
</t>
  </si>
  <si>
    <t>1.Bit0 in 0x778 msg ID should be raised to 1.
2."s_CLUIndication_MILSts" and "s_CLUIndication_BeepSts" should be 0 on 0x775 msg ID.</t>
  </si>
  <si>
    <t>To verify that LTD error is raised  with No MIL,No Beep when LTD error is raise in 0x1D msg ID and "s_StatusInfo_FaultStatus" signal set to 1.</t>
  </si>
  <si>
    <t xml:space="preserve">1.Send the following requests cyclically for 1sec
0x40:$00 $00 $0F $00 $00 $00 $00 $00 
0x41:$00 $00 $0F $00 $00 $00 $00 $00 
2.Send SOC greater than 1% in 0x10 and 0x18 msg ID
3.Send the following request cyclically  for 100ms:
0x1D:$08 $00 $00 $00 $00 $00 $00
4.Send the following request cyclically  for 10ms:
0x610:$10 $00 $00 $00 $00 $00 $00 $00
</t>
  </si>
  <si>
    <t>OL error should be raised,No MIL,No Beep when OL error is raise in 0x15 msg ID and "s_StatusInfo_FaultStatus" signal set to 1.</t>
  </si>
  <si>
    <t>To verify that OL error is raised  with No MIL,No Beep when OL error is raise in 0x15 msg ID and "s_StatusInfo_FaultStatus" signal set to 1.</t>
  </si>
  <si>
    <t>1.0x10
2.0x40
3.0x15
4.x611</t>
  </si>
  <si>
    <t xml:space="preserve">1.Send SOC greater than 1%. in 0x10  msg ID.
2.Send the following request on 0x15  msg ID:
0x15:$40 $00 $00 $00 $00 $00 $00 $00
3.Send "s_StatusInfo_FaultStatus" as 1 in 0x610 msg ID.
</t>
  </si>
  <si>
    <t xml:space="preserve">1.Send the following requests cyclically for 1sec
0x40:$00 $00 $0F $00 $00 $00 $00 $00 
0x41:$00 $00 $0F $00 $00 $00 $00 $00 
2.Send SOC greater than 1% in 0x10 and 0x18 msg ID
3.Send the following request cyclically  for 100ms:
0x15:$40 $00 $00 $00 $00 $00 $00
4.Send the following request cyclically  for 10ms:
0x610:$10 $00 $00 $00 $00 $00 $00 $00
</t>
  </si>
  <si>
    <t>To verify that OL error is raised  with No MIL,No Beep when OL error is raise in 0x1D msg ID and "s_StatusInfo_FaultStatus" signal set to 1.</t>
  </si>
  <si>
    <t xml:space="preserve">1.Send the following requests cyclically for 1sec
0x40:$00 $00 $0F $00 $00 $00 $00 $00 
0x41:$00 $00 $0F $00 $00 $00 $00 $00 
2.Send SOC greater than 1% in 0x10 and 0x18 msg ID
3.Send the following request cyclically  for 100ms:
0x1D:$40 $00 $00 $00 $00 $00 $00
4.Send the following request cyclically  for 10ms:
0x610:$10 $00 $00 $00 $00 $00 $00 $00
</t>
  </si>
  <si>
    <t>CFET error should be raised,No MIL,No Beep when CFET error is raise in 0x15 msg ID and "s_StatusInfo_FaultStatus" signal set to 1.</t>
  </si>
  <si>
    <t>To verify that CFET error is raised  with No MIL,No Beep when CFET error is raise in 0x15 msg ID and "s_StatusInfo_FaultStatus" signal set to 1.</t>
  </si>
  <si>
    <t>1.0x10
2.0x40
3.0x15
4.x612</t>
  </si>
  <si>
    <t xml:space="preserve">1.Send SOC greater than 1%. in 0x10  msg ID.
2.Send the following request on 0x15  msg ID:
0x15:$00 $00 $00 $00 $00 $00 $01 $00
3.Send "s_StatusInfo_FaultStatus" as 1 in 0x610 msg ID.
</t>
  </si>
  <si>
    <t xml:space="preserve">1.Send the following requests cyclically for 1sec
0x40:$00 $00 $0F $00 $00 $00 $00 $00 
0x41:$00 $00 $0F $00 $00 $00 $00 $00 
2.Send SOC greater than 1% in 0x10 and 0x18 msg ID
3.Send the following request cyclically  for 100ms:
0x15:$00 $00 $00 $00 $00 $00 $01 $00
4.Send the following request cyclically  for 10ms:
0x610:$10 $00 $00 $00 $00 $00 $00 $00
</t>
  </si>
  <si>
    <t>To verify that CFET error is raised  with No MIL,No Beep when CFET error is raise in 0x1D msg ID and "s_StatusInfo_FaultStatus" signal set to 1.</t>
  </si>
  <si>
    <t xml:space="preserve">1.Send the following requests cyclically for 1sec
0x40:$00 $00 $0F $00 $00 $00 $00 $00 
0x41:$00 $00 $0F $00 $00 $00 $00 $00 
2.Send SOC greater than 1% in 0x10 and 0x18 msg ID
3.Send the following request cyclically  for 100ms:
0x1D:$00 $00 $00 $00 $00 $00 $01 $00
4.Send the following request cyclically  for 10ms:
0x610:$10 $00 $00 $00 $00 $00 $00 $00
</t>
  </si>
  <si>
    <t>DFET error should be raised,No MIL,No Beep when DFET error is raise in 0x15 msg ID and "s_StatusInfo_FaultStatus" signal set to 1.</t>
  </si>
  <si>
    <t>To verify that DFET error is raised  with No MIL,No Beep when DFET error is raise in 0x15 msg ID and "s_StatusInfo_FaultStatus" signal set to 1.</t>
  </si>
  <si>
    <t>1.0x10
2.0x40
3.0x15
4.x613</t>
  </si>
  <si>
    <t xml:space="preserve">1.Send SOC greater than 1%. in 0x10  msg ID.
2.Send the following request on 0x15  msg ID:
0x15:$00 $00 $00 $00 $00 $00 $02 $00
3.Send "s_StatusInfo_FaultStatus" as 1 in 0x610 msg ID.
</t>
  </si>
  <si>
    <t xml:space="preserve">1.Byte 2--&gt;Bit0 should be equal to "1" on 0x788 msg ID.
2."s_CLUIndication_MILSts" signal should be 1 0x775 msg ID.
3."s_CLUIndication_BeepSts" signal should be 1 for 3sec 0x775 msg ID.
</t>
  </si>
  <si>
    <t xml:space="preserve">1.Send the following requests cyclically for 1sec
0x40:$00 $00 $0F $00 $00 $00 $00 $00 
0x41:$00 $00 $0F $00 $00 $00 $00 $00 
2.Send SOC greater than 1% in 0x10 and 0x18 msg ID
3.Send the following request cyclically  for 100ms:
0x15:$00 $00 $00 $00 $00 $00 $02 $00
4.Send the following request cyclically  for 10ms:
0x610:$10 $00 $00 $00 $00 $00 $00 $00
</t>
  </si>
  <si>
    <t>To verify that DFET error is raised  with No MIL,No Beep when DFET error is raise in 0x1D msg ID and "s_StatusInfo_FaultStatus" signal set to 1.</t>
  </si>
  <si>
    <t xml:space="preserve">1.Send the following requests cyclically for 1sec
0x40:$00 $00 $0F $00 $00 $00 $00 $00 
0x41:$00 $00 $0F $00 $00 $00 $00 $00 
2.Send SOC greater than 1% in 0x10 and 0x18 msg ID
3.Send the following request cyclically  for 100ms:
0x1D:$00 $00 $00 $00 $00 $00 $02 $00
4.Send the following request cyclically  for 10ms:
0x610:$10 $00 $00 $00 $00 $00 $00 $00
</t>
  </si>
  <si>
    <t>EDD error should be raised,No MIL,No Beep when EDD error is raise in 0x15 msg ID and "s_StatusInfo_FaultStatus" signal set to 1.</t>
  </si>
  <si>
    <t>1.0x10
2.0x40
3.0x15
4.x614</t>
  </si>
  <si>
    <t xml:space="preserve">1.Send SOC greater than 1%. in 0x10  msg ID.
2.Send the following request on 0x15  msg ID:
0x15:$00 $00 $00 $00 $00 $00 $00 $04
3.Send "s_StatusInfo_FaultStatus" as 1 in 0x610 msg ID.
</t>
  </si>
  <si>
    <t xml:space="preserve">1.Send the following requests cyclically for 1sec
0x40:$00 $00 $0F $00 $00 $00 $00 $00 
0x41:$00 $00 $0F $00 $00 $00 $00 $00 
2.Send SOC greater than 1% in 0x10 and 0x18 msg ID
3.Send the following request cyclically  for 100ms:
0x15:$00 $00 $00 $00 $00 $00 $00 $04
4.Send the following request cyclically  for 10ms:
0x610:$10 $00 $00 $00 $00 $00 $00 $00
</t>
  </si>
  <si>
    <t xml:space="preserve">1.Send the following requests cyclically for 1sec
0x40:$00 $00 $0F $00 $00 $00 $00 $00 
0x41:$00 $00 $0F $00 $00 $00 $00 $00 
2.Send SOC greater than 1% in 0x10 and 0x18 msg ID
3.Send the following request cyclically  for 100ms:
0x1D:$00 $00 $00 $00 $00 $00 $00 $04
4.Send the following request cyclically  for 10ms:
0x610:$10 $00 $00 $00 $00 $00 $00 $00
</t>
  </si>
  <si>
    <t>SC error should be raised,No MIL,No Beep when SC error is raise in 0x15 msg ID and "s_StatusInfo_FaultStatus" signal set to 1.</t>
  </si>
  <si>
    <t>To verify that SC error is raised  with No MIL,No Beep when SC error is raise in 0x15 msg ID and "s_StatusInfo_FaultStatus" signal set to 1.</t>
  </si>
  <si>
    <t>1.0x10
2.0x40
3.0x15
4.x615</t>
  </si>
  <si>
    <t xml:space="preserve">1.Send SOC greater than 1%. in 0x10  msg ID.
2.Send the following request on 0x15  msg ID:
0x15:$00 $00 $01 $00 $00 $00 $00 $00
3.Send "s_StatusInfo_FaultStatus" as 1 in 0x610 msg ID.
</t>
  </si>
  <si>
    <t xml:space="preserve">1.Send the following requests cyclically for 1sec
0x40:$00 $00 $0F $00 $00 $00 $00 $00 
0x41:$00 $00 $0F $00 $00 $00 $00 $00 
2.Send SOC greater than 1% in 0x10 and 0x18 msg ID
3.Send the following request cyclically  for 100ms:
0x15:$00 $00 $01 $00 $00 $00 $00 $00
4.Send the following request cyclically  for 10ms:
0x610:$10 $00 $00 $00 $00 $00 $00 $00
</t>
  </si>
  <si>
    <t>To verify that SC error is raised  with No MIL,No Beep when SC error is raise in 0x1D msg ID and "s_StatusInfo_FaultStatus" signal set to 1.</t>
  </si>
  <si>
    <t xml:space="preserve">1.Send the following requests cyclically for 1sec
0x40:$00 $00 $0F $00 $00 $00 $00 $00 
0x41:$00 $00 $0F $00 $00 $00 $00 $00 
2.Send SOC greater than 1% in 0x10 and 0x18 msg ID
3.Send the following request cyclically  for 100ms:
0x1D:$00 $00 $01 $00 $00 $00 $00 $00
4.Send the following request cyclically  for 10ms:
0x610:$10 $00 $00 $00 $00 $00 $00 $00
</t>
  </si>
  <si>
    <t>ANTC error should be raised,No MIL,No Beep when ANTC error is raise in 0x15 msg ID and "s_StatusInfo_FaultStatus" signal set to 1.</t>
  </si>
  <si>
    <t>To verify that ANTC error is raised  with No MIL,No Beep when ANTC error is raise in 0x15 msg ID and "s_StatusInfo_FaultStatus" signal set to 1.</t>
  </si>
  <si>
    <t>1.0x10
2.0x40
3.0x15
4.x616</t>
  </si>
  <si>
    <t xml:space="preserve">1.Send SOC greater than 1%. in 0x10  msg ID.
2.Send the following request on 0x15  msg ID:
0x15:$00 $00 $00 $00 $00 $00 $80 $00
3.Send "s_StatusInfo_FaultStatus" as 1 in 0x610 msg ID.
</t>
  </si>
  <si>
    <t xml:space="preserve">1.Send the following requests cyclically for 1sec
0x40:$00 $00 $0F $00 $00 $00 $00 $00 
0x41:$00 $00 $0F $00 $00 $00 $00 $00 
2.Send SOC greater than 1% in 0x10 and 0x18 msg ID
3.Send the following request cyclically  for 100ms:
0x15:$00 $00 $00 $00 $00 $00 $80 $00
4.Send the following request cyclically  for 10ms:
0x610:$10 $00 $00 $00 $00 $00 $00 $00
</t>
  </si>
  <si>
    <t>To verify that ANTC error is raised  with No MIL,No Beep when ANTC error is raise in 0x1D msg ID and "s_StatusInfo_FaultStatus" signal set to 1.</t>
  </si>
  <si>
    <t xml:space="preserve">1.Send the following requests cyclically for 1sec
0x40:$00 $00 $0F $00 $00 $00 $00 $00 
0x41:$00 $00 $0F $00 $00 $00 $00 $00 
2.Send SOC greater than 1% in 0x10 and 0x18 msg ID
3.Send the following request cyclically  for 100ms:
0x1D:$00 $00 $00 $00 $00 $00 $80 $00
4.Send the following request cyclically  for 10ms:
0x610:$10 $00 $00 $00 $00 $00 $00 $00
</t>
  </si>
  <si>
    <t>NTC1 error should be raised,No MIL,No Beep when NTC1 error is raise in 0x15 msg ID and "s_StatusInfo_FaultStatus" signal set to 1.</t>
  </si>
  <si>
    <t>To verify that NTC1 error is raised  with No MIL,No Beep when NTC1 error is raise in 0x15 msg ID and "s_StatusInfo_FaultStatus" signal set to 1.</t>
  </si>
  <si>
    <t>1.0x10
2.0x40
3.0x15
4.x617</t>
  </si>
  <si>
    <t xml:space="preserve">1.Send SOC greater than 1%. in 0x10  msg ID.
2.Send the following request on 0x15  msg ID:
0x15:$00 $00 $00 $01 $00 $00 $00 $00
3.Send "s_StatusInfo_FaultStatus" as 1 in 0x610 msg ID.
</t>
  </si>
  <si>
    <t xml:space="preserve">1.Send the following requests cyclically for 1sec
0x40:$00 $00 $0F $00 $00 $00 $00 $00 
0x41:$00 $00 $0F $00 $00 $00 $00 $00 
2.Send SOC greater than 1% in 0x10 and 0x18 msg ID
3.Send the following request cyclically  for 100ms:
0x15:$00 $00 $00 $01 $00 $00 $00 $00
4.Send the following request cyclically  for 10ms:
0x610:$10 $00 $00 $00 $00 $00 $00 $00
</t>
  </si>
  <si>
    <t>To verify that NTC1 error is raised  with No MIL,No Beep when NTC1 error is raise in 0x1D msg ID and "s_StatusInfo_FaultStatus" signal set to 1.</t>
  </si>
  <si>
    <t xml:space="preserve">1.Send the following requests cyclically for 1sec
0x40:$00 $00 $0F $00 $00 $00 $00 $00 
0x41:$00 $00 $0F $00 $00 $00 $00 $00 
2.Send SOC greater than 1% in 0x10 and 0x18 msg ID
3.Send the following request cyclically  for 100ms:
0x1D:$00 $00 $00 $01 $00 $00 $00 $00
4.Send the following request cyclically  for 10ms:
0x610:$10 $00 $00 $00 $00 $00 $00 $00
</t>
  </si>
  <si>
    <t>NTC2 error should be raised,No MIL,No Beep when NTC2 error is raise in 0x15 msg ID and "s_StatusInfo_FaultStatus" signal set to 1.</t>
  </si>
  <si>
    <t>To verify that NTC2 error is raised  with No MIL,No Beep when NTC2 error is raise in 0x15 msg ID and "s_StatusInfo_FaultStatus" signal set to 1.</t>
  </si>
  <si>
    <t>1.0x10
2.0x40
3.0x15
4.x618</t>
  </si>
  <si>
    <t xml:space="preserve">1.Send SOC greater than 1%. in 0x10  msg ID.
2.Send the following request on 0x15  msg ID:
0x15:$00 $00 $00 $02 $00 $00 $00 $00
3.Send "s_StatusInfo_FaultStatus" as 1 in 0x610 msg ID.
</t>
  </si>
  <si>
    <t xml:space="preserve">1.Send the following requests cyclically for 1sec
0x40:$00 $00 $0F $00 $00 $00 $00 $00 
0x41:$00 $00 $0F $00 $00 $00 $00 $00 
2.Send SOC greater than 1% in 0x10 and 0x18 msg ID
3.Send the following request cyclically  for 100ms:
0x15:$00 $00 $00 $02 $00 $00 $00 $00
4.Send the following request cyclically  for 10ms:
0x610:$10 $00 $00 $00 $00 $00 $00 $00
</t>
  </si>
  <si>
    <t>To verify that NTC2 error is raised  with No MIL,No Beep when NTC2 error is raise in 0x1D msg ID and "s_StatusInfo_FaultStatus" signal set to 1.</t>
  </si>
  <si>
    <t xml:space="preserve">1.Send the following requests cyclically for 1sec
0x40:$00 $00 $0F $00 $00 $00 $00 $00 
0x41:$00 $00 $0F $00 $00 $00 $00 $00 
2.Send SOC greater than 1% in 0x10 and 0x18 msg ID
3.Send the following request cyclically  for 100ms:
0x1D:$00 $00 $00 $02 $00 $00 $00 $00
4.Send the following request cyclically  for 10ms:
0x610:$10 $00 $00 $00 $00 $00 $00 $00
</t>
  </si>
  <si>
    <t>NTC3 error should be raised,No MIL,No Beep when NTC3 error is raise in 0x15 msg ID and "s_StatusInfo_FaultStatus" signal set to 1.</t>
  </si>
  <si>
    <t>To verify that NTC3 error is raised  with No MIL,No Beep when NTC3 error is raise in 0x15 msg ID and "s_StatusInfo_FaultStatus" signal set to 1.</t>
  </si>
  <si>
    <t>1.0x10
2.0x40
3.0x15
4.x619</t>
  </si>
  <si>
    <t xml:space="preserve">1.Send SOC greater than 1%. in 0x10  msg ID.
2.Send the following request on 0x15  msg ID:
0x15:$00 $00 $00 $04 $00 $00 $00 $00
3.Send "s_StatusInfo_FaultStatus" as 1 in 0x610 msg ID.
</t>
  </si>
  <si>
    <t xml:space="preserve">1.Send the following requests cyclically for 1sec
0x40:$00 $00 $0F $00 $00 $00 $00 $00 
0x41:$00 $00 $0F $00 $00 $00 $00 $00 
2.Send SOC greater than 1% in 0x10 and 0x18 msg ID
3.Send the following request cyclically  for 100ms:
0x15:$00 $00 $00 $04 $00 $00 $00 $00
4.Send the following request cyclically  for 10ms:
0x610:$10 $00 $00 $00 $00 $00 $00 $00
</t>
  </si>
  <si>
    <t>To verify that NTC3 error is raised  with No MIL,No Beep when NTC3 error is raise in 0x1D msg ID and "s_StatusInfo_FaultStatus" signal set to 1.</t>
  </si>
  <si>
    <t xml:space="preserve">1.Send the following requests cyclically for 1sec
0x40:$00 $00 $0F $00 $00 $00 $00 $00 
0x41:$00 $00 $0F $00 $00 $00 $00 $00 
2.Send SOC greater than 1% in 0x10 and 0x18 msg ID
3.Send the following request cyclically  for 100ms:
0x1D:$00 $00 $00 $04 $00 $00 $00 $00
4.Send the following request cyclically  for 10ms:
0x610:$10 $00 $00 $00 $00 $00 $00 $00
</t>
  </si>
  <si>
    <t>NTC4 error should be raised,No MIL,No Beep when NTC4 error is raise in 0x15 msg ID and "s_StatusInfo_FaultStatus" signal set to 1.</t>
  </si>
  <si>
    <t>To verify that NTC4 error is raised  with No MIL,No Beep when NTC4 error is raise in 0x15 msg ID and "s_StatusInfo_FaultStatus" signal set to 1.</t>
  </si>
  <si>
    <t>1.0x10
2.0x40
3.0x15
4.x620</t>
  </si>
  <si>
    <t xml:space="preserve">1.Send SOC greater than 1%. in 0x10  msg ID.
2.Send the following request on 0x15  msg ID:
0x15:$00 $00 $00 $08 $00 $00 $00 $00
3.Send "s_StatusInfo_FaultStatus" as 1 in 0x610 msg ID.
</t>
  </si>
  <si>
    <t xml:space="preserve">1.Send the following requests cyclically for 1sec
0x40:$00 $00 $0F $00 $00 $00 $00 $00 
0x41:$00 $00 $0F $00 $00 $00 $00 $00 
2.Send SOC greater than 1% in 0x10 and 0x18 msg ID
3.Send the following request cyclically  for 100ms:
0x15:$00 $00 $00 $08 $00 $00 $00 $00
4.Send the following request cyclically  for 10ms:
0x610:$10 $00 $00 $00 $00 $00 $00 $00
</t>
  </si>
  <si>
    <t>To verify that NTC4 error is raised  with No MIL,No Beep when NTC4 error is raise in 0x1D msg ID and "s_StatusInfo_FaultStatus" signal set to 1.</t>
  </si>
  <si>
    <t xml:space="preserve">1.Send the following requests cyclically for 1sec
0x40:$00 $00 $0F $00 $00 $00 $00 $00 
0x41:$00 $00 $0F $00 $00 $00 $00 $00 
2.Send SOC greater than 1% in 0x10 and 0x18 msg ID
3.Send the following request cyclically  for 100ms:
0x1D:$00 $00 $00 $08 $00 $00 $00 $00
4.Send the following request cyclically  for 10ms:
0x610:$10 $00 $00 $00 $00 $00 $00 $00
</t>
  </si>
  <si>
    <t>NTC5 error should be raised,No MIL,No Beep when NTC5 error is raise in 0x15 msg ID and "s_StatusInfo_FaultStatus" signal set to 1.</t>
  </si>
  <si>
    <t>To verify that NTC5 error is raised  with No MIL,No Beep when NTC5 error is raise in 0x15 msg ID and "s_StatusInfo_FaultStatus" signal set to 1.</t>
  </si>
  <si>
    <t>1.0x10
2.0x40
3.0x15
4.x621</t>
  </si>
  <si>
    <t xml:space="preserve">1.Send SOC greater than 1%. in 0x10  msg ID.
2.Send the following request on 0x15  msg ID:
0x15:$00 $00 $00 $80 $00 $00 $00 $00
3.Send "s_StatusInfo_FaultStatus" as 1 in 0x610 msg ID.
</t>
  </si>
  <si>
    <t xml:space="preserve">1.Send the following requests cyclically for 1sec
0x40:$00 $00 $0F $00 $00 $00 $00 $00 
0x41:$00 $00 $0F $00 $00 $00 $00 $00 
2.Send SOC greater than 1% in 0x10 and 0x18 msg ID
3.Send the following request cyclically  for 100ms:
0x15:$00 $00 $00 $80 $00 $00 $00 $00
4.Send the following request cyclically  for 10ms:
0x610:$10 $00 $00 $00 $00 $00 $00 $00
</t>
  </si>
  <si>
    <t>To verify that NTC5 error is raised  with No MIL,No Beep when NTC5 error is raise in 0x1D msg ID and "s_StatusInfo_FaultStatus" signal set to 1.</t>
  </si>
  <si>
    <t xml:space="preserve">1.Send the following requests cyclically for 1sec
0x40:$00 $00 $0F $00 $00 $00 $00 $00 
0x41:$00 $00 $0F $00 $00 $00 $00 $00 
2.Send SOC greater than 1% in 0x10 and 0x18 msg ID
3.Send the following request cyclically  for 100ms:
0x1D:$00 $00 $00 $80 $00 $00 $00 $00
4.Send the following request cyclically  for 10ms:
0x610:$10 $00 $00 $00 $00 $00 $00 $00
</t>
  </si>
  <si>
    <t>NTC6 error should be raised,No MIL,No Beep when NTC6 error is raise in 0x15 msg ID and "s_StatusInfo_FaultStatus" signal set to 1.</t>
  </si>
  <si>
    <t>To verify that NTC6 error is raised  with No MIL,No Beep when NTC6 error is raise in 0x15 msg ID and "s_StatusInfo_FaultStatus" signal set to 1.</t>
  </si>
  <si>
    <t>1.0x10
2.0x40
3.0x15
4.x622</t>
  </si>
  <si>
    <t xml:space="preserve">1.Send SOC greater than 1%. in 0x10  msg ID.
2.Send the following request on 0x15  msg ID:
0x15:$00 $00 $00 $40 $00 $00 $00 $00
3.Send "s_StatusInfo_FaultStatus" as 1 in 0x610 msg ID.
</t>
  </si>
  <si>
    <t xml:space="preserve">1.Send the following requests cyclically for 1sec
0x40:$00 $00 $0F $00 $00 $00 $00 $00 
0x41:$00 $00 $0F $00 $00 $00 $00 $00 
2.Send SOC greater than 1% in 0x10 and 0x18 msg ID
3.Send the following request cyclically  for 100ms:
0x15:$00 $00 $00 $40 $00 $00 $00 $00
4.Send the following request cyclically  for 10ms:
0x610:$10 $00 $00 $00 $00 $00 $00 $00
</t>
  </si>
  <si>
    <t>To verify that NTC6 error is raised  with No MIL,No Beep when NTC6 error is raise in 0x1D msg ID and "s_StatusInfo_FaultStatus" signal set to 1.</t>
  </si>
  <si>
    <t xml:space="preserve">1.Send the following requests cyclically for 1sec
0x40:$00 $00 $0F $00 $00 $00 $00 $00 
0x41:$00 $00 $0F $00 $00 $00 $00 $00 
2.Send SOC greater than 1% in 0x10 and 0x18 msg ID
3.Send the following request cyclically  for 100ms:
0x1D:$00 $00 $00 $40 $00 $00 $00 $00
4.Send the following request cyclically  for 10ms:
0x610:$10 $00 $00 $00 $00 $00 $00 $00
</t>
  </si>
  <si>
    <t>CIM100 error should be raised,No MIL,No Beep when CIM100 error is raise in 0x15 msg ID and "s_StatusInfo_FaultStatus" signal set to 1.</t>
  </si>
  <si>
    <t>To verify that CIM100 error is raised  with No MIL,No Beep when CIM100 error is raise in 0x15 msg ID and "s_StatusInfo_FaultStatus" signal set to 1.</t>
  </si>
  <si>
    <t>1.0x10
2.0x40
3.0x15
4.x623</t>
  </si>
  <si>
    <t xml:space="preserve">1.Send SOC greater than 1%. in 0x10  msg ID.
2.Send the following request on 0x15  msg ID:
0x15:$00 $00 $00 $00 $00 $00 $40 $00
3.Send "s_StatusInfo_FaultStatus" as 1 in 0x610 msg ID.
</t>
  </si>
  <si>
    <t xml:space="preserve">1.Send the following requests cyclically for 1sec
0x40:$00 $00 $0F $00 $00 $00 $00 $00 
0x41:$00 $00 $0F $00 $00 $00 $00 $00 
2.Send SOC greater than 1% in 0x10 and 0x18 msg ID
3.Send the following request cyclically  for 100ms:
0x15:$00 $00 $00 $00 $00 $00 $40 $00
4.Send the following request cyclically  for 10ms:
0x610:$10 $00 $00 $00 $00 $00 $00 $00
</t>
  </si>
  <si>
    <t>To verify that CIM100 error is raised  with No MIL,No Beep when CIM100 error is raise in 0x1D msg ID and "s_StatusInfo_FaultStatus" signal set to 1.</t>
  </si>
  <si>
    <t xml:space="preserve">1.Send the following requests cyclically for 1sec
0x40:$00 $00 $0F $00 $00 $00 $00 $00 
0x41:$00 $00 $0F $00 $00 $00 $00 $00 
2.Send SOC greater than 1% in 0x10 and 0x18 msg ID
3.Send the following request cyclically  for 100ms:
0x1D:$00 $00 $00 $00 $00 $00 $40 $00
4.Send the following request cyclically  for 10ms:
0x610:$10 $00 $00 $00 $00 $00 $00 $00
</t>
  </si>
  <si>
    <t>CIM200 error should be raised,No MIL,No Beep when CIM200 error is raise in 0x15 msg ID and "s_StatusInfo_FaultStatus" signal set to 1.</t>
  </si>
  <si>
    <t>To verify that CIM200 error is raised  with No MIL,No Beep when CIM200 error is raise in 0x15 msg ID and "s_StatusInfo_FaultStatus" signal set to 1.</t>
  </si>
  <si>
    <t>1.0x10
2.0x40
3.0x15
4.x624</t>
  </si>
  <si>
    <t xml:space="preserve">1.Send SOC greater than 1%. in 0x10  msg ID.
2.Send the following request on 0x15  msg ID:
0x15:$00 $00 $00 $00 $08 $00 $00 $00
3.Send "s_StatusInfo_FaultStatus" as 1 in 0x610 msg ID.
</t>
  </si>
  <si>
    <t xml:space="preserve">1.Send the following requests cyclically for 1sec
0x40:$00 $00 $0F $00 $00 $00 $00 $00 
0x41:$00 $00 $0F $00 $00 $00 $00 $00 
2.Send SOC greater than 1% in 0x10 and 0x18 msg ID
3.Send the following request cyclically  for 100ms:
0x15:$00 $00 $00 $00 $08 $00 $00 $00
4.Send the following request cyclically  for 10ms:
0x610:$10 $00 $00 $00 $00 $00 $00 $00
</t>
  </si>
  <si>
    <t>To verify that CIM200 error is raised  with No MIL,No Beep when CIM200 error is raise in 0x1D msg ID and "s_StatusInfo_FaultStatus" signal set to 1.</t>
  </si>
  <si>
    <t xml:space="preserve">1.Send the following requests cyclically for 1sec
0x40:$00 $00 $0F $00 $00 $00 $00 $00 
0x41:$00 $00 $0F $00 $00 $00 $00 $00 
2.Send SOC greater than 1% in 0x10 and 0x18 msg ID
3.Send the following request cyclically  for 100ms:
0x1D:$00 $00 $00 $00 $08 $00 $00 $00
4.Send the following request cyclically  for 10ms:
0x610:$10 $00 $00 $00 $00 $00 $00 $00
</t>
  </si>
  <si>
    <t>MSTS error should be raised,No MIL,No Beep when MSTS error is raise in 0x15 msg ID and "s_StatusInfo_FaultStatus" signal set to 1.</t>
  </si>
  <si>
    <t>To verify that MSTS error is raised  with No MIL,No Beep when MSTS error is raise in 0x15 msg ID and "s_StatusInfo_FaultStatus" signal set to 1.</t>
  </si>
  <si>
    <t>1.0x10
2.0x40
3.0x15
4.x625</t>
  </si>
  <si>
    <t xml:space="preserve">1.Send SOC greater than 1%. in 0x10  msg ID.
2.Send the following request on 0x15  msg ID:
0x15:$00 $00 $00 $00 $40 $00 $00 $00
3.Send "s_StatusInfo_FaultStatus" as 1 in 0x610 msg ID.
</t>
  </si>
  <si>
    <t xml:space="preserve">1.Send the following requests cyclically for 1sec
0x40:$00 $00 $0F $00 $00 $00 $00 $00 
0x41:$00 $00 $0F $00 $00 $00 $00 $00 
2.Send SOC greater than 1% in 0x10 and 0x18 msg ID
3.Send the following request cyclically  for 100ms:
0x15:$00 $00 $00 $00 $40 $00 $00 $00
4.Send the following request cyclically  for 10ms:
0x610:$10 $00 $00 $00 $00 $00 $00 $00
</t>
  </si>
  <si>
    <t>To verify that MSTS error is raised  with No MIL,No Beep when MSTS error is raise in 0x1D msg ID and "s_StatusInfo_FaultStatus" signal set to 1.</t>
  </si>
  <si>
    <t xml:space="preserve">1.Send the following requests cyclically for 1sec
0x40:$00 $00 $0F $00 $00 $00 $00 $00 
0x41:$00 $00 $0F $00 $00 $00 $00 $00 
2.Send SOC greater than 1% in 0x10 and 0x18 msg ID
3.Send the following request cyclically  for 100ms:
0x1D:$00 $00 $00 $00 $40 $00 $00 $00
4.Send the following request cyclically  for 10ms:
0x610:$10 $00 $00 $00 $00 $00 $00 $00
</t>
  </si>
  <si>
    <t>VCELL error should be raised,No MIL,No Beep when VCELL error is raise in 0x15 msg ID and "s_StatusInfo_FaultStatus" signal set to 1.</t>
  </si>
  <si>
    <t>To verify that VCELL error is raised  with No MIL,No Beep when VCELL error is raise in 0x15 msg ID and "s_StatusInfo_FaultStatus" signal set to 1.</t>
  </si>
  <si>
    <t>1.0x10
2.0x40
3.0x15
4.x626</t>
  </si>
  <si>
    <t xml:space="preserve">1.Send SOC greater than 1%. in 0x10  msg ID.
2.Send the following request on 0x15  msg ID:
0x15:$00 $00 $00 $00 $00 $01 $00 $00
3.Send "s_StatusInfo_FaultStatus" as 1 in 0x610 msg ID.
</t>
  </si>
  <si>
    <t xml:space="preserve">1.Send the following requests cyclically for 1sec
0x40:$00 $00 $0F $00 $00 $00 $00 $00 
0x41:$00 $00 $0F $00 $00 $00 $00 $00 
2.Send SOC greater than 1% in 0x10 and 0x18 msg ID
3.Send the following request cyclically  for 100ms:
0x15:$00 $00 $00 $00 $00 $01 $00 $00
4.Send the following request cyclically  for 10ms:
0x610:$10 $00 $00 $00 $00 $00 $00 $00
</t>
  </si>
  <si>
    <t>To verify that VCELL error is raised  with No MIL,No Beep when VCELL error is raise in 0x1D msg ID and "s_StatusInfo_FaultStatus" signal set to 1.</t>
  </si>
  <si>
    <t xml:space="preserve">1.Send the following requests cyclically for 1sec
0x40:$00 $00 $0F $00 $00 $00 $00 $00 
0x41:$00 $00 $0F $00 $00 $00 $00 $00 
2.Send SOC greater than 1% in 0x10 and 0x18 msg ID
3.Send the following request cyclically  for 100ms:
0x1D:$00 $00 $00 $00 $00 $01 $00 $00
4.Send the following request cyclically  for 10ms:
0x610:$10 $00 $00 $00 $00 $00 $00 $00
</t>
  </si>
  <si>
    <t>CS error should be raised,No MIL,No Beep when CS error is raise in 0x15 msg ID and "s_StatusInfo_FaultStatus" signal set to 1.</t>
  </si>
  <si>
    <t>To verify that CS error is raised  with No MIL,No Beep when CS error is raise in 0x15 msg ID and "s_StatusInfo_FaultStatus" signal set to 1.</t>
  </si>
  <si>
    <t>1.0x10
2.0x40
3.0x15
4.x627</t>
  </si>
  <si>
    <t>To verify that CS error is raised  with No MIL,No Beep when CS error is raise in 0x1D msg ID and "s_StatusInfo_FaultStatus" signal set to 1.</t>
  </si>
  <si>
    <t>BIF error should be raised,No MIL,No Beep when BIF error is raise in 0x15 msg ID and "s_StatusInfo_FaultStatus" signal set to 1.</t>
  </si>
  <si>
    <t>To verify that BIF error is raised  with No MIL,No Beep when BIF error is raise in 0x15 msg ID and "s_StatusInfo_FaultStatus" signal set to 1.</t>
  </si>
  <si>
    <t>1.0x10
2.0x40
3.0x15
4.x628</t>
  </si>
  <si>
    <t xml:space="preserve">1.Send SOC greater than 1%. in 0x10  msg ID.
2.Send the following request on 0x15  msg ID:
0x15:$00 $00 $00 $00 $00 $08 $00 $00
3.Send "s_StatusInfo_FaultStatus" as 1 in 0x610 msg ID.
</t>
  </si>
  <si>
    <t xml:space="preserve">1.Send the following requests cyclically for 1sec
0x40:$00 $00 $0F $00 $00 $00 $00 $00 
0x41:$00 $00 $0F $00 $00 $00 $00 $00 
2.Send SOC greater than 1% in 0x10 and 0x18 msg ID
3.Send the following request cyclically  for 100ms:
0x15:$00 $00 $00 $00 $00 $08 $00 $00
4.Send the following request cyclically  for 10ms:
0x610:$10 $00 $00 $00 $00 $00 $00 $00
</t>
  </si>
  <si>
    <t>To verify that BIF error is raised  with No MIL,No Beep when BIF error is raise in 0x1D msg ID and "s_StatusInfo_FaultStatus" signal set to 1.</t>
  </si>
  <si>
    <t xml:space="preserve">1.Send the following requests cyclically for 1sec
0x40:$00 $00 $0F $00 $00 $00 $00 $00 
0x41:$00 $00 $0F $00 $00 $00 $00 $00 
2.Send SOC greater than 1% in 0x10 and 0x18 msg ID
3.Send the following request cyclically  for 100ms:
0x1D:$00 $00 $00 $00 $00 $08 $00 $00
4.Send the following request cyclically  for 10ms:
0x610:$10 $00 $00 $00 $00 $00 $00 $00
</t>
  </si>
  <si>
    <t>EOT error should be raised,No MIL,No Beep when EOT error is raise in 0x15 msg ID and "s_StatusInfo_FaultStatus" signal set to 1.</t>
  </si>
  <si>
    <t>To verify that EOT error is raised  with No MIL,No Beep when EOT error is raise in 0x15 msg ID and "s_StatusInfo_FaultStatus" signal set to 1.</t>
  </si>
  <si>
    <t>1.0x10
2.0x40
3.0x15
4.x629</t>
  </si>
  <si>
    <t xml:space="preserve">1.Send SOC greater than 1%. in 0x10  msg ID.
2.Send the following request on 0x15  msg ID:
0x15:$00 $00 $00 $00 $00 $00 $00 $01
3.Send "s_StatusInfo_FaultStatus" as 1 in 0x610 msg ID.
</t>
  </si>
  <si>
    <t xml:space="preserve">1.Byte 2--&gt;Bit0 should be equal to "1" on 0x788 msg ID.
2."s_CLUIndication_MILSts" signal should be 1 0x775 msg ID.
3."s_CLUIndication_BeepSts" signal should be raised  1 continuously on 0x775 msg ID.
</t>
  </si>
  <si>
    <t xml:space="preserve">1.Send the following requests cyclically for 1sec
0x40:$00 $00 $0F $00 $00 $00 $00 $00 
0x41:$00 $00 $0F $00 $00 $00 $00 $00 
2.Send SOC greater than 1% in 0x10 and 0x18 msg ID
3.Send the following request cyclically  for 100ms:
0x15:$00 $00 $00 $00 $00 $00 $00 $01
4.Send the following request cyclically  for 10ms:
0x610:$10 $00 $00 $00 $00 $00 $00 $00
</t>
  </si>
  <si>
    <t xml:space="preserve">1.Byte 2--&gt;Bit0 should be equal to "1" on 0x788 msg ID.
2."s_CLUIndication_MILSts" signal should be 1 0x775 msg ID.
3."s_CLUIndication_BeepSts" signal should be raised  1 continuously on  0x775 msg ID.
</t>
  </si>
  <si>
    <t>To verify that EOT error is raised  with No MIL,No Beep when EOT error is raise in 0x1D msg ID and "s_StatusInfo_FaultStatus" signal set to 1.</t>
  </si>
  <si>
    <t xml:space="preserve">1.Send the following requests cyclically for 1sec
0x40:$00 $00 $0F $00 $00 $00 $00 $00 
0x41:$00 $00 $0F $00 $00 $00 $00 $00 
2.Send SOC greater than 1% in 0x10 and 0x18 msg ID
3.Send the following request cyclically  for 100ms:
0x1D:$00 $00 $00 $00 $00 $00 $00 $01
4.Send the following request cyclically  for 10ms:
0x610:$10 $00 $00 $00 $00 $00 $00 $00
</t>
  </si>
  <si>
    <t>EOV error should be raised,No MIL,No Beep when EOV error is raise in 0x15 msg ID and "s_StatusInfo_FaultStatus" signal set to 1.</t>
  </si>
  <si>
    <t>To verify that EOV error is raised  with No MIL,No Beep when EOV error is raise in 0x15 msg ID and "s_StatusInfo_FaultStatus" signal set to 1.</t>
  </si>
  <si>
    <t>1.0x10
2.0x40
3.0x15
4.x630</t>
  </si>
  <si>
    <t xml:space="preserve">1.Send SOC greater than 1%. in 0x10  msg ID.
2.Send the following request on 0x15  msg ID:
0x15:$00 $00 $00 $00 $00 $00 $00 $02
3.Send "s_StatusInfo_FaultStatus" as 1 in 0x610 msg ID.
</t>
  </si>
  <si>
    <t xml:space="preserve">1.Byte 7--&gt;Bit0 should be equal to "1" on 0x788 msg ID.
2."s_CLUIndication_MILSts" signal should be 1 0x775 msg ID.
3."s_CLUIndication_BeepSts" signal should be  raised  1 continuously0x775 msg ID.
</t>
  </si>
  <si>
    <t xml:space="preserve">1.Send the following requests cyclically for 1sec
0x40:$00 $00 $0F $00 $00 $00 $00 $00 
0x41:$00 $00 $0F $00 $00 $00 $00 $00 
2.Send SOC greater than 1% in 0x10 and 0x18 msg ID
3.Send the following request cyclically  for 100ms:
0x15:$00 $00 $00 $00 $00 $00 $00 $02
4.Send the following request cyclically  for 10ms:
0x610:$10 $00 $00 $00 $00 $00 $00 $00
</t>
  </si>
  <si>
    <t xml:space="preserve">1.Byte 7--&gt;Bit0 should be equal to "1" on 0x788 msg ID.
2."s_CLUIndication_MILSts" signal should be 1 0x775 msg ID.
3."s_CLUIndication_BeepSts" signal should be raised  1 continuously 0x775 msg ID.
</t>
  </si>
  <si>
    <t>To verify that EOV error is raised  with No MIL,No Beep when EOV error is raise in 0x1D msg ID and "s_StatusInfo_FaultStatus" signal set to 1.</t>
  </si>
  <si>
    <t xml:space="preserve">1.Send the following requests cyclically for 1sec
0x40:$00 $00 $0F $00 $00 $00 $00 $00 
0x41:$00 $00 $0F $00 $00 $00 $00 $00 
2.Send SOC greater than 1% in 0x10 and 0x18 msg ID
3.Send the following request cyclically  for 100ms:
0x1D:$00 $00 $00 $00 $00 $00 $00 $02
4.Send the following request cyclically  for 10ms:
0x610:$10 $00 $00 $00 $00 $00 $00 $00
</t>
  </si>
  <si>
    <t xml:space="preserve">1.Byte 7--&gt;Bit0 should be equal to "1" on 0x788 msg ID.
2."s_CLUIndication_MILSts" signal should be 1 0x775 msg ID.
3."s_CLUIndication_BeepSts" signal should be raised  1 continuously on 0x775 msg ID.
</t>
  </si>
  <si>
    <t>LTC error should be raised,No MIL,No Beep when LTC error is raise in 0x15 msg ID and "s_StatusInfo_FaultStatus" signal set to 1.</t>
  </si>
  <si>
    <t>To verify that LTC error is raised  with No MIL,No Beep when LTC error is raise in 0x15 msg ID and "s_StatusInfo_FaultStatus" signal set to 1.</t>
  </si>
  <si>
    <t>1.0x10
2.0x40
3.0x15
4.x610
5.0x90
6.0x91</t>
  </si>
  <si>
    <t>1.500ms
2.500ms
3.100ms
4.10ms
5.100ms
6.100ms</t>
  </si>
  <si>
    <t xml:space="preserve">1.Send SOC greater than 1%. in 0x10  msg ID.
2.Send the following request on 0x15  msg ID:
0x15:$00 $00 $00 $00 $00 $00 $00 $01
3.Send "s_StatusInfo_FaultStatus" as 1 in 0x610 msg ID.
4.Send 0x90,0x91 msg ID's.
</t>
  </si>
  <si>
    <t xml:space="preserve">1.Byte 1--&gt;Bit15 should be equal to "1" on 0x778 msg ID.
2."s_CLUIndication_MILSts" signal should be 1 0x775 msg ID.
3."s_CLUIndication_BeepSts" signal should be 1 for 3sec 0x775 msg ID.
</t>
  </si>
  <si>
    <t>1.0x10
2.0x18
3.0x15
4.0x610
5.0x40
6.0x41
7.0x90
8.0x91</t>
  </si>
  <si>
    <t>500ms
500ms
100ms
10ms
1000ms
1000ms
100ms
100ms</t>
  </si>
  <si>
    <t xml:space="preserve">1.Send the following requests cyclically for 1sec
0x40:$00 $00 $0F $00 $00 $00 $00 $00 
0x41:$00 $00 $0F $00 $00 $00 $00 $00 
2.Send SOC greater than 1% in 0x10 and 0x18 msg ID
3.Send the following request cyclically  for 100ms:
0x15:$00 $00 $00 $00 $00 $00 $00 $01
4.Send the following request cyclically  for 10ms:
0x610:$10 $00 $00 $00 $00 $00 $00 $00
5.Send 0x90,0x91 msg ID's.
</t>
  </si>
  <si>
    <t>To verify that LTC error is raised  with No MIL,No Beep when LTC error is raise in 0x1D msg ID and "s_StatusInfo_FaultStatus" signal set to 1.</t>
  </si>
  <si>
    <t xml:space="preserve">1.Send the following requests cyclically for 1sec
0x40:$00 $00 $0F $00 $00 $00 $00 $00 
0x41:$00 $00 $0F $00 $00 $00 $00 $00 
2.Send SOC greater than 1% in 0x10 and 0x18 msg ID
3.Send the following request cyclically  for 100ms:
0x1D:$00 $00 $00 $00 $00 $00 $00 $01
4.Send the following request cyclically  for 10ms:
0x610:$10 $00 $00 $00 $00 $00 $00 $00
5.Send 0x90,0x91 msg ID's.
</t>
  </si>
  <si>
    <t>DD error should be raised,No MIL,No Beep when DD error is raise in 0x15 msg ID and "s_StatusInfo_FaultStatus" signal set to 1.</t>
  </si>
  <si>
    <t>To verify that DD error is raised  with No MIL,No Beep when DD error is raise in 0x15 msg ID and "s_StatusInfo_FaultStatus" signal set to 1.</t>
  </si>
  <si>
    <t xml:space="preserve">1.Send SOC greater than 1%. in 0x10  msg ID.
2.Send the following request on 0x15  msg ID:
0x15:$00 $00 $00 $00 $00 $00 $00 $01
3.Send "s_StatusInfo_FaultStatus" as 1 in 0x610 msg ID.
4.Send  0x90,0x91 msg ID's.
</t>
  </si>
  <si>
    <t xml:space="preserve">1.Byte 1--&gt;Bit15 should be equal to "1" on 0x788 msg ID.
2."s_CLUIndication_MILSts" signal should be 0 0x775 msg ID.
3."s_CLUIndication_BeepSts" signal should be 0  on  0x775 msg ID.
</t>
  </si>
  <si>
    <t xml:space="preserve">1.Send the following requests cyclically for 1sec
0x40:$00 $00 $0F $00 $00 $00 $00 $00 
0x41:$00 $00 $0F $00 $00 $00 $00 $00 
2.Send SOC greater than 1% in 0x10 and 0x18 msg ID
3.Send the following request cyclically  for 100ms:
0x15:$00 $00 $00 $00 $00 $00 $00 $01
4.Send the following request cyclically  for 10ms:
0x610:$10 $00 $00 $00 $00 $00 $00 $00
5.Send  0x90,0x91 msg ID's.
</t>
  </si>
  <si>
    <t>DD error should be raised,No MIL,No Beep when DD error is raise in 0x1D msg ID and "s_StatusInfo_FaultStatus" signal set to 1.</t>
  </si>
  <si>
    <t>To verify that DD error is raised  with No MIL,No Beep when DD error is raise in 0x1D msg ID and "s_StatusInfo_FaultStatus" signal set to 1.</t>
  </si>
  <si>
    <t xml:space="preserve">1.Send the following requests cyclically for 1sec
0x40:$00 $00 $0F $00 $00 $00 $00 $00 
0x41:$00 $00 $0F $00 $00 $00 $00 $00 
2.Send SOC greater than 1% in 0x10 and 0x18 msg ID
3.Send the following request cyclically  for 100ms:
0x1D:$00 $00 $00 $00 $00 $00 $00 $01
4.Send the following request cyclically  for 10ms:
0x610:$10 $00 $00 $00 $00 $00 $00 $00
5.Send  0x90,0x91 msg ID's.
</t>
  </si>
  <si>
    <t>HE430049</t>
  </si>
  <si>
    <t>VCU WakeUp</t>
  </si>
  <si>
    <t>VCU Wakeup status when BMS is in discharge mode(4 or 5).</t>
  </si>
  <si>
    <t>To verify the VCU Wakeup status when BMS is in discharge mode(4 or 5).</t>
  </si>
  <si>
    <t xml:space="preserve">1.0x10
</t>
  </si>
  <si>
    <t>1.500ms</t>
  </si>
  <si>
    <t>1.Send battery mode as "Discharge" in 0x10 msg ID.</t>
  </si>
  <si>
    <t>1.s_VCU_BMSState" signal should be 1(Ack recieved).</t>
  </si>
  <si>
    <t>VCU Wakeup status when BMS is not in discharge mode(4 or 5).</t>
  </si>
  <si>
    <t>To verify the VCU Wakeup status when BMS is not in discharge mode(4 or 5).</t>
  </si>
  <si>
    <t>1.Send battery mode other than  "Discharge" in 0x10 msg ID.</t>
  </si>
  <si>
    <t>1.s_VCU_BMSState" signal should be 0(No Ack recieved).</t>
  </si>
  <si>
    <t>MCU Wake up</t>
  </si>
  <si>
    <t>MCU wake up status when Ignition is  high.</t>
  </si>
  <si>
    <t>To verify the MCU wake up status when Ignition is  high.</t>
  </si>
  <si>
    <t>1.0x10</t>
  </si>
  <si>
    <t>1.Send ignition status as high in 0x10 msg ID.
2.Send "s_Wakeup_Ack_MCUWakeupAck" signal value as 1 in 0x600 msg ID.</t>
  </si>
  <si>
    <t xml:space="preserve">1."s_VCUState_Ign_Sense_Sts" signal should be set in 0x201  msg ID.
2.Byte0 should be 1in 0x501 msg ID.
</t>
  </si>
  <si>
    <t>MCU wake up status when Ignition is  high and MCU wakeup ack failed.</t>
  </si>
  <si>
    <t>To verify the MCU wake up status when Ignition is  highand MCU wakeup ack failed.</t>
  </si>
  <si>
    <t>1.Send ignition status as high in 0x10 msg ID.
2.Send "s_Wakeup_Ack_MCUWakeupAck" signal value as 0 in 0x600 msg ID.</t>
  </si>
  <si>
    <t>1."s_VCUState_Ign_Sense_Sts" signal should be set in 0x201  msg ID.
2."s_CLUIndication_MCUCANInterpt" should be 1 on 0x775 msg ID.
3.VCU should raise MIL.</t>
  </si>
  <si>
    <t>DTE</t>
  </si>
  <si>
    <t>DTE when vehicle is in ECO mode.</t>
  </si>
  <si>
    <t>To verify the DTE when vehicle is in ECO mode.</t>
  </si>
  <si>
    <t>1.0x10
2.0x610</t>
  </si>
  <si>
    <t>1.500ms
2.10ms</t>
  </si>
  <si>
    <t>1.Send SOC greater than 0 in 0x10msg ID.
2.Send "s_MCU_STATUSINFO_SpeedModeStatus as 0 in 0x610 msg ID.</t>
  </si>
  <si>
    <t>1.DTE should be equal to the nearest value of SOC*0.75 in Byte 0 of 0x776 msg ID and Byte 4 of 0x785 msg ID.</t>
  </si>
  <si>
    <t>DTE when vehicle is in Street mode.</t>
  </si>
  <si>
    <t>To verify the DTE when vehicle is in Street mode.</t>
  </si>
  <si>
    <t>1.DTE should be equal to the nearest value of SOC*0.6 in Byte 0 of 0x776 msg ID and Byte 5 of 0x785 msg ID.</t>
  </si>
  <si>
    <t>DTE when vehicle is in power  mode.</t>
  </si>
  <si>
    <t>To verify the DTE when vehicle is in Power mode.</t>
  </si>
  <si>
    <t>1.Send SOC greater than 0 in 0x10msg ID.
2.Send"s_MCU_STATUSINFO_SpeedModeStatus as 0 in 0x610 msg ID.</t>
  </si>
  <si>
    <t>1.DTE should be equal to the nearest value of SOC*0.4 in Byte 0 of 0x776 msg ID and Byte 6 of 0x785 msg ID.</t>
  </si>
  <si>
    <t>BMS Thermal Propagation</t>
  </si>
  <si>
    <t>Discharge current limit should be 35A when Battery max temperature is &gt;=53 degree Celcius to &lt;=55degree Celcius.</t>
  </si>
  <si>
    <t>To verify that Discharge current limit is 35A when Battery max temperature is &gt;=53 degree Celcius to &lt;=55degree Celcius.</t>
  </si>
  <si>
    <t>1.0x10
2.0x11
3.0x610
4.0x608</t>
  </si>
  <si>
    <t xml:space="preserve">1.500ms
2.500ms
</t>
  </si>
  <si>
    <t>1.Send SOC greater than 0 in 0x10 msg ID.
2.Send Battery max temperature  &gt;=35 degree Celcius to &lt;=55degree Celcius in 0x11 msg ID.</t>
  </si>
  <si>
    <t>1.Bit 41 should be 1 on 0x775 msg ID.(Continuous MIL and No Beep).
2.Average of 10 max temperatures should be equal to the Byte 1 value of the 0xA2 msg ID.</t>
  </si>
  <si>
    <t>Discharge current limit should be 15A when Battery max temperature is &gt;=56 degree Celcius to &lt;=57.5 degree Celcius, vehicle speed is less than 3km</t>
  </si>
  <si>
    <t>To verify that Discharge current limit is 15A when Battery max temperature is &gt;=56 degree Celcius to &lt;=57.5 degree Celcius vehicle speed is less than 3km.</t>
  </si>
  <si>
    <t xml:space="preserve">1.0x10
2.0x11
3.0x610
</t>
  </si>
  <si>
    <t>1.500ms
2.500ms
3.10ms
4.10ms</t>
  </si>
  <si>
    <t>1.Send SOC greater than 0 in 0x10 msg ID.
2.Send Battery max temperature  &gt;=35 degree Celcius to &lt;=55degree Celcius in 0x11 msg ID.
3.Send 0x610 msg contiuuosly.
4.Send vehicle speed less than 3kmph in 0x608 msg ID.</t>
  </si>
  <si>
    <t>1.Bit 61 should be 1 on 0x775 msg ID.
2."s_SleepReq_MCUSleepReq" signal should be 1 on 0x506 msg ID.
3.Continuous MIL and 3sec beep should come.
4.Average of 10 max temperatures should be equal to the Byte 1 value of the 0xA2 msg ID.</t>
  </si>
  <si>
    <t>Discharge current limit should be 15A when Battery max temperature is &gt;=58 degree Celcius and speed is less than 3kmph.</t>
  </si>
  <si>
    <t>To verify that Discharge current limit is 15A when Battery max temperature is &gt;=58 degree Celcius and speed is less than 3kmph</t>
  </si>
  <si>
    <t>1.Send SOC greater than 0 in 0x10 msg ID.
2.Send Battery max temperature greater than or eqaul 58 in 0x11 msg ID.
3.Send 0x610 msg contiuuosly.
4.Send vehicle speed less than 3kmph in 0x608 msg ID.</t>
  </si>
  <si>
    <t>1.Bit 61 should be 1 on 0x775 msg ID.
2."s_SleepReq_MCUSleepReq" siignal should be 1 on 0x506 msg ID.
3.Continuous MIL and beep should come.
4.Average of 10 max temperatures should be equal to the Byte 1 value of the 0xA2 msg ID.</t>
  </si>
  <si>
    <t xml:space="preserve">Regen current </t>
  </si>
  <si>
    <t>Max regen current when max charge current is 0.</t>
  </si>
  <si>
    <t>To verify the max regen current when max charge current is 0.</t>
  </si>
  <si>
    <t xml:space="preserve">1.0x10
2.0x11
</t>
  </si>
  <si>
    <t>1.500ms
2.500ms</t>
  </si>
  <si>
    <t>1.Send SOC greater than 0 on 0x10msg ID.
2.Send max charge current as 0 in 0x11 msg ID.</t>
  </si>
  <si>
    <t>1.Byte 1 value should be equal to 0 in oxA2 msg ID.</t>
  </si>
  <si>
    <t>Max regen current when max charge current is X(Anyvalue).</t>
  </si>
  <si>
    <t>To verify the max regen current when max charge current is X(Anyvalue).</t>
  </si>
  <si>
    <t>1.Send SOC greater than 0 on 0x10msg ID.
2.Send max charge current as X(Anyvalue) in 0x11 msg ID.</t>
  </si>
  <si>
    <t>1.Byte 1 value should be equal to X/4 in 0xA2 msg ID.</t>
  </si>
  <si>
    <t>Discharge Current</t>
  </si>
  <si>
    <t>Max discharge current when max charge current is 0.</t>
  </si>
  <si>
    <t>To verify the discharge current when max charge current is 0.</t>
  </si>
  <si>
    <t>1.Send SOC greater than 0 on 0x10msg ID.
2.Send max discharge current as 0 in 0x11 msg ID.</t>
  </si>
  <si>
    <t>1.Byte 0 value should be equal to 0 in 0xA2 msg ID.</t>
  </si>
  <si>
    <t>Max discharge current when max charge current is X(Anyvalue).</t>
  </si>
  <si>
    <t>To verify the discharge current when max charge current is X(Anyvalue).</t>
  </si>
  <si>
    <t>1.Send SOC greater than 0 on 0x10msg ID.
2.Send max discharge current as X(Anyvalue) in 0x11 msg ID.</t>
  </si>
  <si>
    <t>1.Byte 0 value should be equal to X(Anyvalue). in 0xA2 msg ID.</t>
  </si>
  <si>
    <t>MCU CAN Interruption</t>
  </si>
  <si>
    <t>MCU CAN interruption Sense status.</t>
  </si>
  <si>
    <t>To verify the MCU CAN interruption Sense status.</t>
  </si>
  <si>
    <t xml:space="preserve">1.0x10
2.0x610
3.0x600
</t>
  </si>
  <si>
    <t>1.500
2.10ms
3.10ms</t>
  </si>
  <si>
    <t xml:space="preserve">1.Send 0x10 msg ID.
2.Wait for 3secs.
3.Send MCU_HANDSHAKEACK signal as 1(s_MCU_Ack_Success) in 0x600 msg ID.
4.Send 0x610 msg ID.
</t>
  </si>
  <si>
    <t>1."s_CLUIndication_MCUCANInterpt" should be 0 on 0x775 msg ID.
2.VCU should not raise MIL and Beep.</t>
  </si>
  <si>
    <t xml:space="preserve">1.Send 0x10 msg ID.
2.Send MCU_HANDSHAKEACK signal as 0(s_MCU_Ack_failed) in 0x600 msg ID.
3.Send 0x610 msg ID.
</t>
  </si>
  <si>
    <t>1.VCU should not perform any action.</t>
  </si>
  <si>
    <t>Req clarity is missing</t>
  </si>
  <si>
    <t>MCU CAN interruption Sense status when 0x610 msg ID go missing for 1sec.</t>
  </si>
  <si>
    <t>To verify theMCU CAN interruption Sense status when 0x610 msg ID go missing for 1sec.</t>
  </si>
  <si>
    <t xml:space="preserve">1.Send 0x10 msg ID.
2.Wait for 3secs.
3.Send MCU_HANDSHAKEACK signal as 1(s_MCU_Ack_Success) in 0x600 msg ID.
</t>
  </si>
  <si>
    <t>1."s_CLUIndication_MCUCANInterpt" should be 1 on 0x775 msg ID.
2.0x610 msg ID should be missed for 1Sec
3.VCU should raise MIL and Beep.</t>
  </si>
  <si>
    <t>MIL and Beep are not coming in the same ignition cycle.</t>
  </si>
  <si>
    <t>Reduce the discharge current by 1A/sec till discharge current reaches 0A when vehicle speed is greater than 0kmph.</t>
  </si>
  <si>
    <t>To verify that discharge current is reduced by 1A/sec till discharge current reaches 0A when vehicle speed is less than 0kmph.</t>
  </si>
  <si>
    <t>1.0x10
2.0x608
3.0x610</t>
  </si>
  <si>
    <t xml:space="preserve">1.Send 0x10 msg ID.
2.perform TC166.
3.Send vehicle speed greater than 0kmph in 0x608 msg ID.
</t>
  </si>
  <si>
    <t>1."s_CLUIndication_MCUCANInterpt" should be 1 on 0x775 msg ID.
2.0x610 msg ID should be missed for 1Sec
3.VCU should raise MIL and Beep.
4.Discharge current should be reduced by 1A/sec
Note:Observe in Byte 1 of 0xA2 msg ID.</t>
  </si>
  <si>
    <t>Drive disable is true(1) when vehicle speed is  0kmph and 0x610 msg ID is missing for 1sec.</t>
  </si>
  <si>
    <t>To verify that Drive disable is true(1) when vehicle speed is  0kmph and and 0x610 msg ID is missing for 1sec.</t>
  </si>
  <si>
    <t>1.perform TC166.
2.send vehicle speed as 0 in 0x608 msg ID.</t>
  </si>
  <si>
    <t>1."s_CLUIndication_MCUCANInterpt" should be 1 on 0x775 msg ID.
2.0x610 msg ID should be missed for 1Sec
3.VCU should raise MIL and Beep.
4.Bit5 should be 1 on 0xA1 msg ID.</t>
  </si>
  <si>
    <t>BMS CAN Interrruption</t>
  </si>
  <si>
    <t>BMS CAN interrruption status is 0 when  0x10 msg ID is coming continuously.</t>
  </si>
  <si>
    <t>BMS CAN interrruption status is 0 when 0x10 msg ID is coming continuously.</t>
  </si>
  <si>
    <t>1.Send 0x10 msg ID.</t>
  </si>
  <si>
    <t>1"s_VCU_BMS_CANInterruption" signal should be equal to 0 on 0x201 msg ID.
2.VCU should not raise MIL and Beep.
3.Bit5 should be equal to 0 on 0xA1 msg ID.</t>
  </si>
  <si>
    <t>BMS CAN interrruption status is 1 when 0x10 msg ID is missing for 5 sec.</t>
  </si>
  <si>
    <t>BMS CAN interrruption status is 1 when 0x10 msg ID is missing for 5 .</t>
  </si>
  <si>
    <t>1.0x10
2.0x608
3.0x11</t>
  </si>
  <si>
    <t>1.500ms
2.10ms
3.500ms</t>
  </si>
  <si>
    <t xml:space="preserve">1.Send 0x10 msg ID and stop sending at any point of time  for 5sec and observe the BMS CAN interruption status.
2.Send discharge current greater more than zero in 0x11msg ID.
2.Send speed greater than zero in 0x608 msg ID.
3.Observe the bit23 in 0x201 msg ID .
</t>
  </si>
  <si>
    <t>1"s_VCU_BMS_CANInterruption" signal should be equal to 1 on 0x201 msg ID.
2.VCU should raise MIL and Beep.
3.Discharge current should be reduced by 1A/sec and is should be updated in byte0 of 0xA2 msg ID.</t>
  </si>
  <si>
    <t>Discharge current is directly set to zero insted of reducing 1A/sec</t>
  </si>
  <si>
    <t>Discharge Current is reduced by 1A/sec when BMS CAN interruption status is set.</t>
  </si>
  <si>
    <t>To verify that the Discharge Current is  reduced by 1A/sec when BMS CAN interruption status is set.</t>
  </si>
  <si>
    <t>1.Perform TC170.
2.send vehicle speed as 0 in 0x608 msg ID.</t>
  </si>
  <si>
    <t>1"s_VCU_BMS_CANInterruption" signal should be equal to 1 on 0x201 msg ID.
2.VCU should raise MIL and Beep.
3.Bit5 should be equal to 0 on 0xA1 msg ID.</t>
  </si>
  <si>
    <t>Limp Home mode</t>
  </si>
  <si>
    <t>Limphome status and MIL status when BMS errors are raised.</t>
  </si>
  <si>
    <t>To verify the Limp_Home_Status and MIL status when Deep discharge fault is raised on 0x15 msg ID.</t>
  </si>
  <si>
    <t>1.0x10
2.0x15
3.0x11</t>
  </si>
  <si>
    <t>1.500ms
2.100ms
3.500ms</t>
  </si>
  <si>
    <t>1.Send 0x10 msg ID.
2.Send the following data frame
0x15:$01 $00 $00 $00 $00 $00 $00 $00
3.Send max discharge current greater than 35A.</t>
  </si>
  <si>
    <t>1."s_EnableStatus_LmphomeEn" signal sould be enabled(1) in 0xA1 msg ID.
2.MIL should come in 0x775 msg ID.
(Sig:"s_CLUIndication_MILSts").
3.Max discharge should be 35A in byte 0 of 0xA2 msg ID.</t>
  </si>
  <si>
    <t>To verify the Limp_Home_Status and MIL status when High discharge current fault is raised on 0x15 msg ID.</t>
  </si>
  <si>
    <t>1.Send 0x10 msg ID.
2.Send the following data frame
0x15:$02 $00 $00 $00 $00 $00 $00 $00
3.Send max discharge current greater than 35A.</t>
  </si>
  <si>
    <t>To verify the Limp_Home_Status and MIL status when Discharge exceeds in I2T limit fault is raised on 0x15 msg ID.</t>
  </si>
  <si>
    <t>1.Send 0x10 msg ID.
2.Send the following data frame
0x15:$04 $00 $00 $00 $00 $00 $00 $00
3.Send max discharge current greater than 35A.</t>
  </si>
  <si>
    <t>To verify the Limp_Home_Status and MIL status when Low temperatrure discharge fault is raised on 0x15 msg ID.</t>
  </si>
  <si>
    <t>1.Send 0x10 msg ID.
2.Send the following data frame
0x15:$08 $00 $00 $00 $00 $00 $00 $00</t>
  </si>
  <si>
    <t>To verify the Limp_Home_Status and MIL status when High Temperature Discharge Fault is raised on 0x15 msg ID.</t>
  </si>
  <si>
    <t>1.Send 0x10 msg ID.
2.Send the following data frame
0x15:$10 $00 $00 $00 $00 $00 $00 $00
3.Send max discharge current greater than 35A.</t>
  </si>
  <si>
    <t>To verify the Limp_Home_Status and MIL status when Overload Fault is raised on 0x15 msg ID.</t>
  </si>
  <si>
    <t>1.Send 0x10 msg ID.
2.Send the following data frame
0x15:$20 $00 $00 $00 $00 $00 $00 $00
3.Send max discharge current greater than 35A.</t>
  </si>
  <si>
    <t>To verify the Limp_Home_Status and MIL status when Low Temperature Charging Fault is raised on 0x15 msg ID.</t>
  </si>
  <si>
    <t>1.Send 0x10 msg ID.
2.Send the following data frame
0x15:$00 $01 $00 $00 $00 $00 $00 $00
3.Send max discharge current greater than 35A.</t>
  </si>
  <si>
    <t>To verify the Limp_Home_Status and MIL status when High Charging current Fault is raised on 0x15 msg ID.</t>
  </si>
  <si>
    <t>1.Send 0x10 msg ID.
2.Send the following data frame
0x15:$00 $02 $00 $00 $00 $00 $00 $00
3.Send max discharge current greater than 35A.</t>
  </si>
  <si>
    <t>To verify the Limp_Home_Status and MIL status when Charge exceeds in I2T Fault is raised on 0x15 msg ID.</t>
  </si>
  <si>
    <t>1.Send 0x10 msg ID.
2.Send the following data frame
0x15:$00$04 $00 $00 $00 $00 $00 $00
3.Send max discharge current greater than 35A.</t>
  </si>
  <si>
    <t>To verify the Limp_Home_Status and MIL status when High Temperature Charging Fault is raised on 0x15 msg ID.</t>
  </si>
  <si>
    <t>1.Send 0x10 msg ID.
2.Send the following data frame
0x15:$00 $08 $00 $00 $00 $00 $00 $00
3.Send max discharge current greater than 35A.</t>
  </si>
  <si>
    <t>To verify the Limp_Home_Status and MIL status when Over Voltage Fault is raised on 0x15 msg ID.</t>
  </si>
  <si>
    <t>1.Send 0x10 msg ID.
2.Send the following data frame
0x15:$00 $10 $00 $00 $00 $00 $00 $00
3.Send max discharge current greater than 35A.</t>
  </si>
  <si>
    <t>To verify the Limp_Home_Status and MIL status when Short circuit  Fault is raised on 0x15 msg ID.</t>
  </si>
  <si>
    <t>1.Send 0x10 msg ID.
2.Send the following data frame
0x15:$00 $00 $01 $00 $00 $00 $00 $00
3.Send max discharge current greater than 35A.</t>
  </si>
  <si>
    <t>To verify the Limp_Home_Status and MIL status when cell low voltage  Fault is raised on 0x15 msg ID.</t>
  </si>
  <si>
    <t>1.Send 0x10 msg ID.
2.Send the following data frame
0x15:$00 $00 $02 $00 $00 $00 $00 $00
3.Send max discharge current greater than 35A.</t>
  </si>
  <si>
    <t>To verify the Limp_Home_Status and MIL status when Precharge Fault is raised on 0x15 msg ID.</t>
  </si>
  <si>
    <t>1.Send 0x10 msg ID.
2.Send the following data frame
0x15:$00 $00 $04 $00 $00 $00 $00 $00
3.Send max discharge current greater than 35A.</t>
  </si>
  <si>
    <t>To verify the Limp_Home_Status and MIL status when NTC1 Fault is raised on 0x15 msg ID.</t>
  </si>
  <si>
    <t>1.Send 0x10 msg ID.
2.Send the following data frame
0x15:$00 $00 $00 $01 $00 $00 $00 $00
3.Send max discharge current greater than 35A.</t>
  </si>
  <si>
    <t>To verify the Limp_Home_Status and MIL status when NTC2 Fault is raised on 0x15 msg ID.</t>
  </si>
  <si>
    <t>1.Send 0x10 msg ID.
2.Send the following data frame
0x15:$00 $00 $00 $02 $00 $00 $00 $00
3.Send max discharge current greater than 35A.</t>
  </si>
  <si>
    <t>To verify the Limp_Home_Status and MIL status when NTC3 Fault is raised on 0x15 msg ID.</t>
  </si>
  <si>
    <t>1.Send 0x10 msg ID.
2.Send the following data frame
0x15:$00 $00 $00 $04 $00 $00 $00 $00
3.Send max discharge current greater than 35A.</t>
  </si>
  <si>
    <t>To verify the Limp_Home_Status and MIL status when NTC4 Fault is raised on 0x15 msg ID.</t>
  </si>
  <si>
    <t>1.Send 0x10 msg ID.
2.Send the following data frame
0x15:$00 $00 $00 $08 $00 $00 $00 $00
3.Send max discharge current greater than 35A.</t>
  </si>
  <si>
    <t>To verify the Limp_Home_Status and MIL status when NTC5 Fault is raised on 0x15 msg ID.</t>
  </si>
  <si>
    <t>1.Send 0x10 msg ID.
2.Send the following data frame
0x15:$00 $00 $00 $10 $00 $00 $00 $00
3.Send max discharge current greater than 35A.</t>
  </si>
  <si>
    <t>To verify the Limp_Home_Status and MIL status when NTC6 Fault is raised on 0x15 msg ID.</t>
  </si>
  <si>
    <t>1.Send 0x10 msg ID.
2.Send the following data frame
0x15:$00 $00 $00 $20 $00 $00 $00 $00
3.Send max discharge current greater than 35A.</t>
  </si>
  <si>
    <t>To verify the Limp_Home_Status and MIL status when NTC7 Fault is raised on 0x15 msg ID.</t>
  </si>
  <si>
    <t>1.Send 0x10 msg ID.
2.Send the following data frame
0x15:$00 $00 $00 $40 $00 $00 $00 $00
3.Send max discharge current greater than 35A.</t>
  </si>
  <si>
    <t>To verify the Limp_Home_Status and MIL status when NTC8 Fault is raised on 0x15 msg ID.</t>
  </si>
  <si>
    <t>1.Send 0x10 msg ID.
2.Send the following data frame
0x15:$00 $00 $00 $80 $00 $00 $00 $00
3.Send max discharge current greater than 35A.</t>
  </si>
  <si>
    <t>To verify the Limp_Home_Status and MIL status when Ignition Fault is raised on 0x15 msg ID.</t>
  </si>
  <si>
    <t>To verify the Limp_Home_Status and MIL status when Cell Imbalance more than 200mV Fault is raised on 0x15 msg ID.</t>
  </si>
  <si>
    <t>To verify the Limp_Home_Status and MIL status when Positive Voltage Monitoring Fault is raised on 0x15 msg ID.</t>
  </si>
  <si>
    <t>To verify the Limp_Home_Status and MIL status when Main Switch Status Fault is raised on 0x15 msg ID</t>
  </si>
  <si>
    <t>To verify the Limp_Home_Status and MIL status when Cell Voltage Open Fault is raised on 0x15 msg ID</t>
  </si>
  <si>
    <t>To verify the Limp_Home_Status and MIL status when Battery Internal Fault is raised on 0x15 msg ID.</t>
  </si>
  <si>
    <t>To verify the Limp_Home_Status and MIL status when Current Sensor Fault is raised on 0x15 msg ID.</t>
  </si>
  <si>
    <t>To verify the Limp_Home_Status and MIL status when CFET Fault is raised on 0x15 msg ID.</t>
  </si>
  <si>
    <t>To verify the Limp_Home_Status and MIL status when DFET Fault is raised on 0x15 msg ID.</t>
  </si>
  <si>
    <t>To verify the Limp_Home_Status and MIL status when All Temperature Sensor Fault is raised on 0x15 msg ID.</t>
  </si>
  <si>
    <t>To verify the Limp_Home_Status and MIL status when Cell Imbalance over 100mV is raised on 0x15 msg ID.</t>
  </si>
  <si>
    <t>1.Send 0x10 msg ID.
2.Send the following data frame
0x15:$00 $00 $00 $00 $00 $00 $00 $00
3.Send max discharge current greater than 35A.</t>
  </si>
  <si>
    <t>To verify the Limp_Home_Status and MIL status when Extreme Over Temperature Fault is raised on 0x15 msg ID.</t>
  </si>
  <si>
    <t>1.Send 0x10 msg ID.
2.Send the following data frame
0x15:$00 $00 $00 $00 $00 $00 $00 $01
3.Send max discharge current greater than 35A.</t>
  </si>
  <si>
    <t>To verify the Limp_Home_Status and MIL status when Extreme Over Voltage Fault is raised on 0x15 msg ID.</t>
  </si>
  <si>
    <t>1.Send 0x10 msg ID.
2.Send the following data frame
0x15:$00 $00 $00 $00 $00 $00 $00 $02
3.Send max discharge current greater than 35A.</t>
  </si>
  <si>
    <t>To verify the Limp_Home_Status and MIL status when Extreme Deep Discharge Fault is raised on 0x15 msg ID.</t>
  </si>
  <si>
    <t>1.Send 0x10 msg ID.
2.Send the following data frame
0x15:$00 $00 $00 $00 $00 $00 $00 $04
3.Send max discharge current greater than 35A.</t>
  </si>
  <si>
    <t>Limphome status and MIL status when MCU and motor errors are raised.</t>
  </si>
  <si>
    <t>To verify the Limphome status and MIL status when MCU and motor errors are raised.</t>
  </si>
  <si>
    <t xml:space="preserve">1.0x10
2.0x610
3.0x11
</t>
  </si>
  <si>
    <t>1.Send 0x10 msg ID.
2.Send the following data frame
0x610:$10 $00 $00 $00 $00 $00 $00 $00
3.Send max discharge current greater than 35A.</t>
  </si>
  <si>
    <t>1.Send 0x10 msg ID.
2.Send the following data frame
0x610:$00 $01 $00 $00 $00 $00 $00 $00
3.Send max discharge current greater than 35A.</t>
  </si>
  <si>
    <t>1.Send 0x10 msg ID.
2.Send the following data frame
0x610:$00 $02 $00 $00 $00 $00 $00 $00
3.Send max discharge current greater than 35A.</t>
  </si>
  <si>
    <t>1.Send 0x10 msg ID.
2.Send the following data frame
0x610:$00 $04 $00 $00 $00 $00 $00 $00
3.Send max discharge current greater than 35A.</t>
  </si>
  <si>
    <t>1.Send 0x10 msg ID.
2.Send the following data frame
0x610:$00 $08 $00 $00 $00 $00 $00 $00
3.Send max discharge current greater than 35A.</t>
  </si>
  <si>
    <t>1.Send 0x10 msg ID.
2.Send the following data frame
0x610:$00 $10 $00 $00 $00 $00 $00 $00
3.Send max discharge current greater than 35A.</t>
  </si>
  <si>
    <t>1.Send 0x10 msg ID.
2.Send the following data frame
0x610:$00 $20 $00 $00 $00 $00 $00 $00
3.Send max discharge current greater than 35A.</t>
  </si>
  <si>
    <t>1.Send 0x10 msg ID.
2.Send the following data frame
0x610:$00 $40 $00 $00 $00 $00 $00 $00
3.Send max discharge current greater than 35A.</t>
  </si>
  <si>
    <t>1.Send 0x10 msg ID.
2.Send the following data frame
0x610:$00 $80 $00 $00 $00 $00 $00 $00
3.Send max discharge current greater than 35A.</t>
  </si>
  <si>
    <t>1.Send 0x10 msg ID.
2.Send the following data frame
0x610:$00 $00 $00 $00 $00 $00 $01 $00
3.Send max discharge current greater than 35A.</t>
  </si>
  <si>
    <t>1.Send 0x10 msg ID.
2.Send the following data frame
0x610:$00 $00 $00 $00 $00 $00 $02 $00
3.Send max discharge current greater than 35A.</t>
  </si>
  <si>
    <t>1.Send 0x10 msg ID.
2.Send the following data frame
0x610:$00 $00 $00 $00 $00 $00 $04 $00
3.Send max discharge current greater than 35A.</t>
  </si>
  <si>
    <t>1.Send 0x10 msg ID.
2.Send the following data frame
0x610:$00 $00 $00 $00 $00 $00 $08 $00
3.Send max discharge current greater than 35A.</t>
  </si>
  <si>
    <t>1.Send 0x10 msg ID.
2.Send the following data frame
0x610:$00 $00 $00 $00 $00 $00 $10 $00
3.Send max discharge current greater than 35A.</t>
  </si>
  <si>
    <t>1.Send 0x10 msg ID.
2.Send the following data frame
0x610:$00 $00 $00 $00 $00 $00 $20 $00
3.Send max discharge current greater than 35A.</t>
  </si>
  <si>
    <t>1.Send 0x10 msg ID.
2.Send the following data frame
0x610:$00 $00 $00 $00 $00 $00 $40 $00
3.Send max discharge current greater than 35A.</t>
  </si>
  <si>
    <t>1.Send 0x10 msg ID.
2.Send the following data frame
0x610:$00 $00 $00 $00 $00 $00 $80 $00
3.Send max discharge current greater than 35A.</t>
  </si>
  <si>
    <t>1.Send 0x10 msg ID.
2.Send the following data frame
0x610:$00 $00 $00 $00 $00 $00 $00 $01
3.Send max discharge current greater than 35A.</t>
  </si>
  <si>
    <t>1.Send 0x10 msg ID.
2.Send the following data frame
0x610:$00 $00 $00 $00 $00 $00 $00 $02
3.Send max discharge current greater than 35A.</t>
  </si>
  <si>
    <t>1.Send 0x10 msg ID.
2.Send the following data frame
0x610:$00 $00 $00 $00 $00 $00 $00 $04
3.Send max discharge current greater than 35A.</t>
  </si>
  <si>
    <t>1.Send 0x10 msg ID.
2.Send the following data frame
0x610:$00 $00 $00 $00 $00 $00 $00 $08
3.Send max discharge current greater than 35A.</t>
  </si>
  <si>
    <t>1.Send 0x10 msg ID.
2.Send the following data frame
0x610:$00 $00 $00 $00 $00 $00 $00 $10
3.Send max discharge current greater than 35A.</t>
  </si>
  <si>
    <t>1.Send 0x10 msg ID.
2.Send the following data frame
0x610:$00 $00 $00 $00 $00 $00 $00 $20
3.Send max discharge current greater than 35A.</t>
  </si>
  <si>
    <t>1.Send 0x10 msg ID.
2.Send the following data frame
0x610:$00 $00 $00 $00 $00 $00 $00 $40
3.Send max discharge current greater than 35A.</t>
  </si>
  <si>
    <t>1.Send 0x10 msg ID.
2.Send the following data frame
0x610:$00 $00 $00 $00 $00 $00 $00 $80
3.Send max discharge current greater than 35A.</t>
  </si>
  <si>
    <t>Avg SOC</t>
  </si>
  <si>
    <t>Avg soc status.</t>
  </si>
  <si>
    <t>To verify the Avg Soc status.</t>
  </si>
  <si>
    <t>1.Send SOC as x(Anyvalue) in 0x10 msg ID.</t>
  </si>
  <si>
    <t>1.Byte 3 value should be equal to SOC value being sent from 0x10 msg ID in 0x775 msg ID.</t>
  </si>
  <si>
    <t>MCU Sleep</t>
  </si>
  <si>
    <t>MCU sleep status when ignition is off for 3sec and vehicle speed is less than 0kmph</t>
  </si>
  <si>
    <t>To verify the MCU sleep status when ignition is off for 3sec and vehicle speed is less than 0kmph</t>
  </si>
  <si>
    <t>1.Send ignition status as low in 0x10 msg ID.
2.Send vehicle speed as 0 in 0x608 msg ID.</t>
  </si>
  <si>
    <t>1.Byte0 should be 0x01 in 0x506 msg ID</t>
  </si>
  <si>
    <t>MCU sleep status when ignition is off for 3sec and vehicle speed is more than 0kmph</t>
  </si>
  <si>
    <t>To verify the MCU sleep status when ignition is off for 3sec and vehicle speed is more than 0kmph</t>
  </si>
  <si>
    <t>MCU Error Layout</t>
  </si>
  <si>
    <t>Hall protect error is raised with MIL and 3sec Beep when Hall protect  error is raised msg ID and "s_StatusInfo_FaultStatus" signal set to 1 in 0x610 msg ID.</t>
  </si>
  <si>
    <t>To verify that the Hall protect error is raised with MIL and 3sec Beep when Hall protect  error is raised msg ID and "s_StatusInfo_FaultStatus" signal set to 1 in 0x610 msg ID.</t>
  </si>
  <si>
    <t xml:space="preserve">1.0x10
2.0x40
3.x610
</t>
  </si>
  <si>
    <t xml:space="preserve">1.500ms
2.500ms
3.10ms
</t>
  </si>
  <si>
    <t>1.Send 0x10 msg ID.
2.Send the following data frame
0x610:$10 $00 $00 $00 $00 $00 $10 $00</t>
  </si>
  <si>
    <t>1.Bit 0 should be raised to 1 in 0x788 and  0x606 msg ID.
2.MIL should come in 0x775 msg ID.
(Sig:"s_CLUIndication_MILSts").
3.3sec Beep should come.</t>
  </si>
  <si>
    <t>Hall protect error is raised with MIL and 3sec Beep when Hall protect  error is raised msg ID and "s_StatusInfo_FaultStatus" signal set to 0 in 0x610 msg ID.</t>
  </si>
  <si>
    <t>1.Send 0x10 msg ID.
2.Send the following data frame
0x610:$00 $00 $00 $00 $00 $00 $10 $00</t>
  </si>
  <si>
    <t>1.Bit 0 should be 0 in 0x788 and  0x606 msg ID.
2.MIL should not  come in 0x775 msg ID.
(Sig:"s_CLUIndication_MILSts").
3.3sec Beep should not come.</t>
  </si>
  <si>
    <t xml:space="preserve">1.0x10
2.0x18
3.0x610
4.0x40
5.0x41
</t>
  </si>
  <si>
    <t xml:space="preserve">500ms
500ms
10ms
1000ms
1000ms
</t>
  </si>
  <si>
    <t>1.Send 0x10 msg ID and 0x18 msg ID.
2.Send the following data frame
0x610:$10 $00 $00 $00 $00 $00 $10 $00</t>
  </si>
  <si>
    <t>1.Bit 0 should be raised to 1 in 0x778 and  0x606 msg ID.
2.MIL should come in 0x775 msg ID.
(Sig:"s_CLUIndication_MILSts").
3.3sec Beep should come.</t>
  </si>
  <si>
    <t>To verify that the Hall protect error is raised with MIL and 3sec Beep when Hall protect  error is raised msg ID and "s_StatusInfo_FaultStatus" signal set to 0 in 0x610 msg ID.</t>
  </si>
  <si>
    <t>1.Send 0x10 msg ID and 0x18 msg ID.
2.Send the following data frame
0x610:$00 $00 $00 $00 $00 $00 $10 $00</t>
  </si>
  <si>
    <t>1.Bit 0 should be 0 in 0x778 and  0x606 msg ID.
2.MIL should not  come in 0x775 msg ID.
(Sig:"s_CLUIndication_MILSts").
3.3sec Beep should not come.</t>
  </si>
  <si>
    <t>Invalid Hall sector(111) error is raised with MIL and 3sec Beep when Hall protect  error is raised msg ID and "s_StatusInfo_FaultStatus" signal set to 1 in 0x610 msg ID.</t>
  </si>
  <si>
    <t>1.Send 0x10 msg ID.
2.Send the following data frame
0x610:$10 $01 $00 $00 $00 $00 $00 $00</t>
  </si>
  <si>
    <t>1.Send 0x10 msg ID.
2.Send the following data frame
0x610:$00 $01 $00 $00 $00 $00 $00 $00</t>
  </si>
  <si>
    <t>1.Send 0x10 msg ID and 0x18 msg ID.
2.Send the following data frame
0x610:$01 $01 $00 $00 $00 $00 $00 $00</t>
  </si>
  <si>
    <t>1.Send 0x10 msg ID and 0x18 msg ID.
2.Send the following data frame
0x610:$00 $01 $00 $00 $00 $00 $00 $00</t>
  </si>
  <si>
    <t>Invalid Hall sector(000) error is raised with MIL and 3sec Beep when Hall protect  error is raised msg ID and "s_StatusInfo_FaultStatus" signal set to 1 in 0x610 msg ID.</t>
  </si>
  <si>
    <t>1.Send 0x10 msg ID.
2.Send the following data frame
0x610:$10 $02 $00 $00 $00 $00 $00 $00</t>
  </si>
  <si>
    <t>1.Send 0x10 msg ID.
2.Send the following data frame
0x610:$00 $02 $00 $00 $00 $00 $00 $00</t>
  </si>
  <si>
    <t>1.Send 0x10 msg ID and 0x18 msg ID.
2.Send the following data frame
0x610:$01 $02 $00 $00 $00 $00 $00 $00</t>
  </si>
  <si>
    <t>1.Send 0x10 msg ID and 0x18 msg ID.
2.Send the following data frame
0x610:$00 $02 $00 $00 $00 $00 $00 $00</t>
  </si>
  <si>
    <t>Invalid Sequence skip error is raised with MIL and 3sec Beep when Hall protect  error is raised msg ID and "s_StatusInfo_FaultStatus" signal set to 1 in 0x610 msg ID.</t>
  </si>
  <si>
    <t>To verify that the Invalid Sequence skip is raised with MIL and 3sec Beep when Hall protect  error is raised msg ID and "s_StatusInfo_FaultStatus" signal set to 1 in 0x610 msg ID.</t>
  </si>
  <si>
    <t>Hall disconnection/Motor open error is raised with MIL and 3sec Beep when Hall protect  error is raised msg ID and "s_StatusInfo_FaultStatus" signal set to 1 in 0x610 msg ID.</t>
  </si>
  <si>
    <t>To verify that the Hall disconnection/Motor open  is raised with MIL and 3sec Beep when Hall protect  error is raised msg ID and "s_StatusInfo_FaultStatus" signal set to 1 in 0x610 msg ID.</t>
  </si>
  <si>
    <t>1.Send 0x10 msg ID.
2.Send the following data frame
0x610:$10 $00 $00 $00 $00 $00 $40 $00</t>
  </si>
  <si>
    <t>1.Byte2 Bit 0 should be raised to 1 in 0x788 msg ID.
2.MIL should come in 0x775 msg ID.
(Sig:"s_CLUIndication_MILSts").
3.3sec Beep should come.</t>
  </si>
  <si>
    <t>To verify that the Hall disconnection/Motor open is raised with MIL and 3sec Beep when Hall protect  error is raised msg ID and "s_StatusInfo_FaultStatus" signal set to 1 in 0x610 msg ID.</t>
  </si>
  <si>
    <t>1.Send 0x10 msg ID.
2.Send the following data frame
0x610:$00 $00 $00 $00 $00 $00 $40 $00</t>
  </si>
  <si>
    <t>1.Byte2 Bit 0 should be 0 in 0x788 msg ID.
2.MIL should not  come in 0x775 msg ID.
(Sig:"s_CLUIndication_MILSts").
3.3sec Beep should not come.</t>
  </si>
  <si>
    <t>1.Send 0x10 msg ID and 0x18 msg ID.
2.Send the following data frame
0x610:$01 $00 $00 $00 $00 $00 $40 $00</t>
  </si>
  <si>
    <t>1.Send 0x10 msg ID and 0x18 msg ID.
2.Send the following data frame
0x610:$00 $00 $00 $00 $00 $00 $40 $00</t>
  </si>
  <si>
    <t>Throttle protect error is raised with MIL and 3sec Beep when Hall protect  error is raised msg ID and "s_StatusInfo_FaultStatus" signal set to 1 in 0x610 msg ID.</t>
  </si>
  <si>
    <t>To verify that the Throttle protect  is raised with MIL and 3sec Beep when Hall protect  error is raised msg ID and "s_StatusInfo_FaultStatus" signal set to 1 in 0x610 msg ID.</t>
  </si>
  <si>
    <t>1.Send 0x10 msg ID.
2.Send the following data frame
0x610:$10 $00 $00 $00 $00 $00 $00 $02</t>
  </si>
  <si>
    <t>To verify that theThrottle protect is raised with MIL and 3sec Beep when Hall protect  error is raised msg ID and "s_StatusInfo_FaultStatus" signal set to 1 in 0x610 msg ID.</t>
  </si>
  <si>
    <t>1.Send 0x10 msg ID.
2.Send the following data frame
0x610:$00 $00 $00 $00 $00 $00 $00 $02</t>
  </si>
  <si>
    <t>To verify that the Throttle protect is raised with MIL and 3sec Beep when Hall protect  error is raised msg ID and "s_StatusInfo_FaultStatus" signal set to 1 in 0x610 msg ID.</t>
  </si>
  <si>
    <t>1.Send 0x10 msg ID and 0x18 msg ID.
2.Send the following data frame
0x610:$01 $00 $00 $00 $00 $00 $00 $02</t>
  </si>
  <si>
    <t>1.Send 0x10 msg ID and 0x18 msg ID.
2.Send the following data frame
0x610:$00 $00 $00 $00 $00 $00 $00 $02</t>
  </si>
  <si>
    <t>TPS1 SCB error is raised with MIL and 3sec Beep when TPS1 SCB   error is raised msg ID and "s_StatusInfo_FaultStatus" signal set to 1 in 0x610 msg ID.</t>
  </si>
  <si>
    <t>To verify that the TPS1 SCB  is raised with MIL and 3sec Beep when Hall protect  error is raised msg ID and "s_StatusInfo_FaultStatus" signal set to 1 in 0x610 msg ID.</t>
  </si>
  <si>
    <t>1.Send 0x10 msg ID.
2.Send the following data frame
0x610:$10 $08 $00 $00 $00 $00 $00 $00</t>
  </si>
  <si>
    <t>1.Bit 8 should be raised to 1 in 0x608 msg ID.
2.MIL should come in 0x775 msg ID.
(Sig:"s_CLUIndication_MILSts").
3.3sec Beep should come.</t>
  </si>
  <si>
    <t>TPS1 SCB  is raised with MIL and 3sec Beep when TPS1 SCB   error is raised msg ID and "s_StatusInfo_FaultStatus" signal set to 1 in 0x610 msg ID.</t>
  </si>
  <si>
    <t>To verify that the TPS1 SCB is raised with MIL and 3sec Beep when Hall protect  error is raised msg ID and "s_StatusInfo_FaultStatus" signal set to 1 in 0x610 msg ID.</t>
  </si>
  <si>
    <t>1.Send 0x10 msg ID.
2.Send the following data frame
0x610:$00 $08 $00 $00 $00 $00 $00 $00</t>
  </si>
  <si>
    <t>1.Bit 8 should  be 0 in 0x608  msg ID.
2.MIL should not  come in 0x775 msg ID.
(Sig:"s_CLUIndication_MILSts").
3.3sec Beep should not come.</t>
  </si>
  <si>
    <t>TPS1 SCB  error is raised with MIL and 3sec Beep when TPS1 SCB  error is raised msg ID and "s_StatusInfo_FaultStatus" signal set to 1 in 0x610 msg ID.</t>
  </si>
  <si>
    <t>1.Send 0x10 msg ID and 0x18 msg ID.
2.Send the following data frame
0x610:$01 $08 $00 $00 $00 $00 $00 $00</t>
  </si>
  <si>
    <t>1.Bit 8 should be raised to 1 in 0x608  msg ID.
2.MIL should come in 0x775 msg ID.
(Sig:"s_CLUIndication_MILSts").
3.3sec Beep should come.</t>
  </si>
  <si>
    <t>TPS1 SCB  error is raised with MIL and 3sec Beep whenTPS1 SCB error is raised msg ID and "s_StatusInfo_FaultStatus" signal set to 1 in 0x610 msg ID.</t>
  </si>
  <si>
    <t>1.Send 0x10 msg ID and 0x18 msg ID.
2.Send the following data frame
0x610:$00 $08 $00 $00 $00 $00 $00 $00</t>
  </si>
  <si>
    <t>1.Bit 8 should be 0 in 0x608 msg ID.
2.MIL should not  come in 0x775 msg ID.
(Sig:"s_CLUIndication_MILSts").
3.3sec Beep should not come.</t>
  </si>
  <si>
    <t>TPS2 SCB error is raised with MIL and 3sec Beep when TPS1 SCB   error is raised msg ID and "s_StatusInfo_FaultStatus" signal set to 1 in 0x610 msg ID.</t>
  </si>
  <si>
    <t>To verify that the TPS2 SCB  is raised with MIL and 3sec Beep when Hall protect  error is raised msg ID and "s_StatusInfo_FaultStatus" signal set to 1 in 0x610 msg ID.</t>
  </si>
  <si>
    <t>1.Send 0x10 msg ID.
2.Send the following data frame
0x610:$10 $20 $00 $00 $00 $00 $00 $00</t>
  </si>
  <si>
    <t>TPS2 SCB  is raised with MIL and 3sec Beep when TPS1 SCB   error is raised msg ID and "s_StatusInfo_FaultStatus" signal set to 1 in 0x610 msg ID.</t>
  </si>
  <si>
    <t>To verify that the TPS2 SCB is raised with MIL and 3sec Beep when Hall protect  error is raised msg ID and "s_StatusInfo_FaultStatus" signal set to 1 in 0x610 msg ID.</t>
  </si>
  <si>
    <t>1.Send 0x10 msg ID.
2.Send the following data frame
0x610:$00 $20 $00 $00 $00 $00 $00 $00</t>
  </si>
  <si>
    <t>TPS2 SCB  error is raised with MIL and 3sec Beep when TPS1 SCB  error is raised msg ID and "s_StatusInfo_FaultStatus" signal set to 1 in 0x610 msg ID.</t>
  </si>
  <si>
    <t>1.Send 0x10 msg ID and 0x18 msg ID.
2.Send the following data frame
0x610:$01 $20 $00 $00 $00 $00 $00 $00</t>
  </si>
  <si>
    <t>TPS2 SCG  error is raised with MIL and 3sec Beep whenTPS1 SCG error is raised msg ID and "s_StatusInfo_FaultStatus" signal set to 1 in 0x610 msg ID.</t>
  </si>
  <si>
    <t>To verify that the TPS2 SCG is raised with MIL and 3sec Beep when Hall protect  error is raised msg ID and "s_StatusInfo_FaultStatus" signal set to 1 in 0x610 msg ID.</t>
  </si>
  <si>
    <t>1.Send 0x10 msg ID and 0x18 msg ID.
2.Send the following data frame
0x610:$00 $20 $00 $00 $00 $00 $00 $00</t>
  </si>
  <si>
    <t>TPS1 SCG error is raised with MIL and 3sec Beep when TPS1 SCG   error is raised msg ID and "s_StatusInfo_FaultStatus" signal set to 1 in 0x610 msg ID.</t>
  </si>
  <si>
    <t>To verify that the TPS1 SCG  is raised with MIL and 3sec Beep when Hall protect  error is raised msg ID and "s_StatusInfo_FaultStatus" signal set to 1 in 0x610 msg ID.</t>
  </si>
  <si>
    <t>1.Send 0x10 msg ID.
2.Send the following data frame
0x610:$10 $10 $00 $00 $00 $00 $00 $00</t>
  </si>
  <si>
    <t>TPS1 SCG  is raised with MIL and 3sec Beep when TPS1 SCG   error is raised msg ID and "s_StatusInfo_FaultStatus" signal set to 1 in 0x610 msg ID.</t>
  </si>
  <si>
    <t>To verify that the TPS1 SCG is raised with MIL and 3sec Beep when Hall protect  error is raised msg ID and "s_StatusInfo_FaultStatus" signal set to 1 in 0x610 msg ID.</t>
  </si>
  <si>
    <t>1.Send 0x10 msg ID.
2.Send the following data frame
0x610:$00 $10 $00 $00 $00 $00 $00 $00</t>
  </si>
  <si>
    <t>TPS1 SCG  error is raised with MIL and 3sec Beep when TPS1 SCG  error is raised msg ID and "s_StatusInfo_FaultStatus" signal set to 1 in 0x610 msg ID.</t>
  </si>
  <si>
    <t>1.Send 0x10 msg ID and 0x18 msg ID.
2.Send the following data frame
0x610:$01 $10 $00 $00 $00 $00 $00 $00</t>
  </si>
  <si>
    <t>TPS1 SCG  error is raised with MIL and 3sec Beep whenTPS1 SCG error is raised msg ID and "s_StatusInfo_FaultStatus" signal set to 1 in 0x610 msg ID.</t>
  </si>
  <si>
    <t>1.Send 0x10 msg ID and 0x18 msg ID.
2.Send the following data frame
0x610:$00 $10 $00 $00 $00 $00 $00 $00</t>
  </si>
  <si>
    <t>TPS2 SCG error is raised with MIL and 3sec Beep when TPS2 SCG   error is raised msg ID and "s_StatusInfo_FaultStatus" signal set to 1 in 0x610 msg ID.</t>
  </si>
  <si>
    <t>To verify that the TPS2 SCG  is raised with MIL and 3sec Beep when Hall protect  error is raised msg ID and "s_StatusInfo_FaultStatus" signal set to 1 in 0x610 msg ID.</t>
  </si>
  <si>
    <t>1.Send 0x10 msg ID.
2.Send the following data frame
0x610:$10 $40 $00 $00 $00 $00 $00 $00</t>
  </si>
  <si>
    <t>TPS2 SCG  is raised with MIL and 3sec Beep when TPS2 SCG   error is raised msg ID and "s_StatusInfo_FaultStatus" signal set to 1 in 0x610 msg ID.</t>
  </si>
  <si>
    <t>1.Send 0x10 msg ID.
2.Send the following data frame
0x610:$00 $40 $00 $00 $00 $00 $00 $00</t>
  </si>
  <si>
    <t>TPS2 SCG  error is raised with MIL and 3sec Beep when TPS2 SCG  error is raised msg ID and "s_StatusInfo_FaultStatus" signal set to 1 in 0x610 msg ID.</t>
  </si>
  <si>
    <t>1.Send 0x10 msg ID and 0x18 msg ID.
2.Send the following data frame
0x610:$01 $40 $00 $00 $00 $00 $00 $00</t>
  </si>
  <si>
    <t>TPS2 SCG  error is raised with MIL and 3sec Beep whenTPS2 SCG error is raised msg ID and "s_StatusInfo_FaultStatus" signal set to 1 in 0x610 msg ID.</t>
  </si>
  <si>
    <t>1.Send 0x10 msg ID and 0x18 msg ID.
2.Send the following data frame
0x610:$00 $40 $00 $00 $00 $00 $00 $00</t>
  </si>
  <si>
    <t>TPS Mismatch  error is raised with MIL and 3sec Beep when TPS Mismatch  error is raised msg ID and "s_StatusInfo_FaultStatus" signal set to 1 in 0x610 msg ID.</t>
  </si>
  <si>
    <t>To verify that the TPS Mismatch   is raised with MIL and 3sec Beep when Hall protect  error is raised msg ID and "s_StatusInfo_FaultStatus" signal set to 1 in 0x610 msg ID.</t>
  </si>
  <si>
    <t>1.Send 0x10 msg ID.
2.Send the following data frame
0x610:$10 $80 $00 $00 $00 $00 $00 $00</t>
  </si>
  <si>
    <t>1.Byte0 Bit 0 should be raised to 1 in 0x788 msg ID.
2.MIL should come in 0x775 msg ID.
(Sig:"s_CLUIndication_MILSts").
3.3sec Beep should come.</t>
  </si>
  <si>
    <t>TPS Mismatch  error is raised with MIL and 3sec Beep when TPS Mismatch error is raised msg ID and "s_StatusInfo_FaultStatus" signal set to 1 in 0x610 msg ID.</t>
  </si>
  <si>
    <t>To verify that theTPS Mismatch is raised with MIL and 3sec Beep when Hall protect  error is raised msg ID and "s_StatusInfo_FaultStatus" signal set to 1 in 0x610 msg ID.</t>
  </si>
  <si>
    <t>1.Send 0x10 msg ID.
2.Send the following data frame
0x610:$00 $80 $00 $00 $00 $00 $00 $00</t>
  </si>
  <si>
    <t>1.Byte0 Bit 0 should be 0 in 0x788 msg ID.
2.MIL should not  come in 0x775 msg ID.
(Sig:"s_CLUIndication_MILSts").
3.3sec Beep should not come.</t>
  </si>
  <si>
    <t>To verify that the TPS Mismatch is raised with MIL and 3sec Beep when Hall protect  error is raised msg ID and "s_StatusInfo_FaultStatus" signal set to 1 in 0x610 msg ID.</t>
  </si>
  <si>
    <t>1.Send 0x10 msg ID and 0x18 msg ID.
2.Send the following data frame
0x610:$01 $80 $00 $00 $00 $00 $00 $00</t>
  </si>
  <si>
    <t>TPS Mismatch error is raised with MIL and 3sec Beep when TPS Mismatch error is raised msg ID and "s_StatusInfo_FaultStatus" signal set to 1 in 0x610 msg ID.</t>
  </si>
  <si>
    <t>1.Send 0x10 msg ID and 0x18 msg ID.
2.Send the following data frame
0x610:$00 $80 $00 $00 $00 $00 $00 $00</t>
  </si>
  <si>
    <t>Side stand fault SCG  error is raised with MIL and 3sec Beep when TPS Side stand fault SCG is raised msg ID and "s_StatusInfo_FaultStatus" signal set to 1 in 0x610 msg ID.</t>
  </si>
  <si>
    <t>To verify that the Side stand fault SCG error  is raised with MIL and 3sec Beep when Hall protect  error is raised msg ID and "s_StatusInfo_FaultStatus" signal set to 1 in 0x610 msg ID.</t>
  </si>
  <si>
    <t>1.Send 0x10 msg ID.
2.Send the following data frame
0x610:$90 $00 $00 $00 $00 $00 $00 $00</t>
  </si>
  <si>
    <t>1.Byte2 Bit 0 should be raised to 1 in 0x788 msg ID.
2.MIL should not  come in 0x775 msg ID.
(Sig:"s_CLUIndication_MILSts").
3.3sec Beep should not come.</t>
  </si>
  <si>
    <t>Side stand fault SCG  error is raised with MIL and 3sec Beep when Side stand fault SCG error is raised msg ID and "s_StatusInfo_FaultStatus" signal set to 1 in 0x610 msg ID.</t>
  </si>
  <si>
    <t>To verify that theSide stand fault SCG error is raised with MIL and 3sec Beep when Hall protect  error is raised msg ID and "s_StatusInfo_FaultStatus" signal set to 1 in 0x610 msg ID.</t>
  </si>
  <si>
    <t>1.Send 0x10 msg ID.
2.Send the following data frame
0x610:$80 $00 $00 $00 $00 $00 $00 $00</t>
  </si>
  <si>
    <t>To verify that the Side stand fault SCG error is raised with MIL and 3sec Beep when Hall protect  error is raised msg ID and "s_StatusInfo_FaultStatus" signal set to 1 in 0x610 msg ID.</t>
  </si>
  <si>
    <t>1.Send 0x10 msg ID and 0x18 msg ID.
2.Send the following data frame
0x610:$90 $00 $00 $00 $00 $00 $00 $00</t>
  </si>
  <si>
    <t>Side stand fault SCG error is raised with MIL and 3sec Beep when Side stand fault SCG error is raised msg ID and "s_StatusInfo_FaultStatus" signal set to 1 in 0x610 msg ID.</t>
  </si>
  <si>
    <t>1.Send 0x10 msg ID and 0x18 msg ID.
2.Send the following data frame
0x610:$80 $00 $00 $00 $00 $00 $00 $00</t>
  </si>
  <si>
    <t>Stall  error is raised with MIL and 3sec Beep when Stall  error is raised msg ID and "s_StatusInfo_FaultStatus" signal set to 1 in 0x610 msg ID.</t>
  </si>
  <si>
    <t>To verify that the Stall  is raised with MIL and 3sec Beep when Hall protect  error is raised msg ID and "s_StatusInfo_FaultStatus" signal set to 1 in 0x610 msg ID.</t>
  </si>
  <si>
    <t>1.Send 0x10 msg ID.
2.Send the following data frame
0x610:$10 $00 $00 $00 $00 $00 $08 $00</t>
  </si>
  <si>
    <t>1.Byte5 Bit 4 should be raised to 1 in 0x775 msg ID.
2.MIL should come in 0x775 msg ID.
(Sig:"s_CLUIndication_MILSts").
3.1sec Beep should come.</t>
  </si>
  <si>
    <t>Stall  error is raised with MIL and 3sec Beep when Stall error is raised msg ID and "s_StatusInfo_FaultStatus" signal set to 1 in 0x610 msg ID.</t>
  </si>
  <si>
    <t>To verify that the Stall is raised with MIL and 3sec Beep when Hall protect  error is raised msg ID and "s_StatusInfo_FaultStatus" signal set to 1 in 0x610 msg ID.</t>
  </si>
  <si>
    <t>1.Send 0x10 msg ID.
2.Send the following data frame
0x610:$00 $00 $00 $00 $00 $00 $08 $00</t>
  </si>
  <si>
    <t>1.Byte5 Bit 4 should be 0 in 0x775 msg ID.
2.MIL should not  come in 0x775 msg ID.
(Sig:"s_CLUIndication_MILSts").
3.1sec Beep should not come.</t>
  </si>
  <si>
    <t>1.Send 0x10 msg ID and 0x18 msg ID.
2.Send the following data frame
0x610:$01 $00 $00 $00 $00 $00 $08 $00</t>
  </si>
  <si>
    <t>Stall error is raised with MIL and 3sec Beep when Stall error is raised msg ID and "s_StatusInfo_FaultStatus" signal set to 1 in 0x610 msg ID.</t>
  </si>
  <si>
    <t>1.Send 0x10 msg ID and 0x18 msg ID.
2.Send the following data frame
0x610:$00 $00 $00 $00 $00 $00 $08 $00</t>
  </si>
  <si>
    <t>1Byte5 Bit 4 should be 0 in 0x775 msg ID.
2.MIL should not  come in 0x775 msg ID.
(Sig:"s_CLUIndication_MILSts").
3.1sec Beep should not come.</t>
  </si>
  <si>
    <t>Over heat protect  error is raised with MIL and 3sec Beep when Over heat protect  error is raised msg ID and "s_StatusInfo_FaultStatus" signal set to 1 in 0x610 msg ID.</t>
  </si>
  <si>
    <t>To verify that the Over heat protect error  is raised with MIL and 3sec Beep when Hall protect  error is raised msg ID and "s_StatusInfo_FaultStatus" signal set to 1 in 0x610 msg ID.</t>
  </si>
  <si>
    <t>1.Send 0x10 msg ID.
2.Send the following data frame
0x610:$10 $00 $00 $00 $00 $00 $00 $01</t>
  </si>
  <si>
    <t>Over heat protect  error is raised with MIL and 3sec Beep when Over heat protect error is raised msg ID and "s_StatusInfo_FaultStatus" signal set to 1 in 0x610 msg ID.</t>
  </si>
  <si>
    <t>To verify that the Over heat protect error is raised with MIL and 3sec Beep when Hall protect  error is raised msg ID and "s_StatusInfo_FaultStatus" signal set to 1 in 0x610 msg ID.</t>
  </si>
  <si>
    <t>1.Send 0x10 msg ID.
2.Send the following data frame
0x610:$00 $00 $00 $00 $00 $00 $00 $01</t>
  </si>
  <si>
    <t>1.Send 0x10 msg ID and 0x18 msg ID.
2.Send the following data frame
0x610:$01 $00 $00 $00 $00 $00 $00 $01</t>
  </si>
  <si>
    <t>Over heat protect error is raised with MIL and 3sec Beep when Over heat protect error is raised msg ID and "s_StatusInfo_FaultStatus" signal set to 1 in 0x610 msg ID.</t>
  </si>
  <si>
    <t>1.Send 0x10 msg ID and 0x18 msg ID.
2.Send the following data frame
0x610:$00 $00 $00 $00 $00 $00 $00 $01</t>
  </si>
  <si>
    <t>Motor temperature sensor fault is raised with MIL and 3sec Beep when Motor temperature sensor fault is raised msg ID and "s_StatusInfo_FaultStatus" signal set to 1 in 0x610 msg ID.</t>
  </si>
  <si>
    <t>To verify that the Motor temperature sensor fault  is raised with MIL and 3sec Beep when Hall protect  error is raised msg ID and "s_StatusInfo_FaultStatus" signal set to 1 in 0x610 msg ID.</t>
  </si>
  <si>
    <t>1.Send 0x10 msg ID.
2.Send the following data frame
0x610:$10 $00 $00 $00 $00 $00 $00 $08</t>
  </si>
  <si>
    <t>To verify that the Motor temperature sensor fault is raised with MIL and 3sec Beep when Hall protect  error is raised msg ID and "s_StatusInfo_FaultStatus" signal set to 1 in 0x610 msg ID.</t>
  </si>
  <si>
    <t>1.Send 0x10 msg ID.
2.Send the following data frame
0x610:$00 $00 $00 $00 $00 $00 $00 $08</t>
  </si>
  <si>
    <t>1.Send 0x10 msg ID and 0x18 msg ID.
2.Send the following data frame
0x610:$01 $00 $00 $00 $00 $00 $00 $08</t>
  </si>
  <si>
    <t>1.Send 0x10 msg ID and 0x18 msg ID.
2.Send the following data frame
0x610:$00 $00 $00 $00 $00 $00 $00 $08</t>
  </si>
  <si>
    <t>DC over voltage fault is raised with MIL and 3sec Beep when DC over voltage fault  is raised msg ID and "s_StatusInfo_FaultStatus" signal set to 1 in 0x610 msg ID.</t>
  </si>
  <si>
    <t>To verify that the DC over voltage fault  is raised with MIL and 3sec Beep when Hall protect  error is raised msg ID and "s_StatusInfo_FaultStatus" signal set to 1 in 0x610 msg ID.</t>
  </si>
  <si>
    <t>1.Send 0x10 msg ID.
2.Send the following data frame
0x610:$10 $00 $00 $00 $00 $00 $01 $00</t>
  </si>
  <si>
    <t>DC over voltage fault is raised with MIL and 3sec Beep when DC over voltage fault is raised msg ID and "s_StatusInfo_FaultStatus" signal set to 1 in 0x610 msg ID.</t>
  </si>
  <si>
    <t>1.Send 0x10 msg ID.
2.Send the following data frame
0x610:$00 $00 $00 $00 $00 $00 $01 $00</t>
  </si>
  <si>
    <t>DC over voltage fault  is raised with MIL and 3sec Beep when DC over voltage fault  is raised msg ID and "s_StatusInfo_FaultStatus" signal set to 1 in 0x610 msg ID.</t>
  </si>
  <si>
    <t>1.Send 0x10 msg ID and 0x18 msg ID.
2.Send the following data frame
0x610:$01 $00 $00 $00 $00 $00 $01 $00</t>
  </si>
  <si>
    <t>DC over voltage fault  is raised with MIL and 3sec Beep when DC over voltage fault is raised msg ID and "s_StatusInfo_FaultStatus" signal set to 1 in 0x610 msg ID.</t>
  </si>
  <si>
    <t>1.Send 0x10 msg ID and 0x18 msg ID.
2.Send the following data frame
0x610:$00 $00 $00 $00 $00 $00 $01 $00</t>
  </si>
  <si>
    <t>DC Under voltage fault is raised with MIL and 3sec Beep when DC Under voltage fault  is raised msg ID and "s_StatusInfo_FaultStatus" signal set to 1 in 0x610 msg ID.</t>
  </si>
  <si>
    <t>To verify that the DC Under voltage fault  is raised with MIL and 3sec Beep when Hall protect  error is raised msg ID and "s_StatusInfo_FaultStatus" signal set to 1 in 0x610 msg ID.</t>
  </si>
  <si>
    <t>1.Send 0x10 msg ID.
2.Send the following data frame
0x610:$10 $00 $00 $00 $00 $00 $02 $00</t>
  </si>
  <si>
    <t>DC Under voltage fault is raised with MIL and 3sec Beep when DC Under voltage fault is raised msg ID and "s_StatusInfo_FaultStatus" signal set to 1 in 0x610 msg ID.</t>
  </si>
  <si>
    <t>1.Send 0x10 msg ID.
2.Send the following data frame
0x610:$00 $00 $00 $00 $00 $00 $02 $00</t>
  </si>
  <si>
    <t>DC Under voltage fault  is raised with MIL and 3sec Beep when DC Under voltage fault  is raised msg ID and "s_StatusInfo_FaultStatus" signal set to 1 in 0x610 msg ID.</t>
  </si>
  <si>
    <t>1.Send 0x10 msg ID and 0x18 msg ID.
2.Send the following data frame
0x610:$01 $00 $00 $00 $00 $00 $02 $00</t>
  </si>
  <si>
    <t>DC Under voltage fault  is raised with MIL and 3sec Beep when DC Under voltage fault is raised msg ID and "s_StatusInfo_FaultStatus" signal set to 1 in 0x610 msg ID.</t>
  </si>
  <si>
    <t>1.Send 0x10 msg ID and 0x18 msg ID.
2.Send the following data frame
0x610:$00 $00 $00 $00 $00 $00 $02 $00</t>
  </si>
  <si>
    <t>Self check error is raised with MIL and 3sec Beep when Self check error  is raised msg ID and "s_StatusInfo_FaultStatus" signal set to 1 in 0x610 msg ID.</t>
  </si>
  <si>
    <t>To verify that the Self check error  is raised with MIL and 3sec Beep when Hall protect  error is raised msg ID and "s_StatusInfo_FaultStatus" signal set to 1 in 0x610 msg ID.</t>
  </si>
  <si>
    <t>Self check error  is raised with MIL and 3sec Beep when Self check error is raised msg ID and "s_StatusInfo_FaultStatus" signal set to 1 in 0x610 msg ID.</t>
  </si>
  <si>
    <t>Self check error   is raised with MIL and 3sec Beep when Self check error  is raised msg ID and "s_StatusInfo_FaultStatus" signal set to 1 in 0x610 msg ID.</t>
  </si>
  <si>
    <t>1.Send 0x10 msg ID and 0x18 msg ID.
2.Send the following data frame
0x610:$01 $00 $00 $00 $00 $00 $10 $00</t>
  </si>
  <si>
    <t>Throttle non idle protect error is raised with MIL and 3sec Beep when Self check error  is raised msg ID and "s_StatusInfo_FaultStatus" signal set to 1 in 0x610 msg ID.</t>
  </si>
  <si>
    <t>To verify that the Throttle non idle protect error  is raised with MIL and 3sec Beep when Hall protect  error is raised msg ID and "s_StatusInfo_FaultStatus" signal set to 1 in 0x610 msg ID.</t>
  </si>
  <si>
    <t>1.Send 0x10 msg ID.
2.Send the following data frame
0x610:$10 $00 $00 $00 $00 $00 $00 $04</t>
  </si>
  <si>
    <t>1.Byte5 Bit 4 should be raised to 1 in 0x755 msg ID.
2.MIL should come in 0x775 msg ID.
(Sig:"s_CLUIndication_MILSts").
3.1sec Beep should come.</t>
  </si>
  <si>
    <t>Throttle non idle protect error  is raised with MIL and 3sec Beep when Throttle non idle protect error is raised msg ID and "s_StatusInfo_FaultStatus" signal set to 1 in 0x610 msg ID.</t>
  </si>
  <si>
    <t>To verify that the Throttle non idle protect error is raised with MIL and 3sec Beep when Hall protect  error is raised msg ID and "s_StatusInfo_FaultStatus" signal set to 1 in 0x610 msg ID.</t>
  </si>
  <si>
    <t>1.Send 0x10 msg ID.
2.Send the following data frame
0x610:$00 $00 $00 $00 $00 $00 $00 $04</t>
  </si>
  <si>
    <t>1.Byte5 Bit 4 should be 0 in 0x755 msg ID.
2.MIL should not  come in 0x775 msg ID.
(Sig:"s_CLUIndication_MILSts").
3.1sec Beep should not come.</t>
  </si>
  <si>
    <t>Throttle non idle protect error  is raised with MIL and 3sec Beep when Throttle non idle protect error  is raised msg ID and "s_StatusInfo_FaultStatus" signal set to 1 in 0x610 msg ID.</t>
  </si>
  <si>
    <t>1.Send 0x10 msg ID and 0x18 msg ID.
2.Send the following data frame
0x610:$01 $00 $00 $00 $00 $00 $00 $04</t>
  </si>
  <si>
    <t>1.Byte5 Bit4 should be raised to 1 in 0x755 msg ID.
2.MIL should come in 0x775 msg ID.
(Sig:"s_CLUIndication_MILSts").
3.1sec Beep should come.</t>
  </si>
  <si>
    <t>Throttle non idle protect error is raised with MIL and 3sec Beep when Throttle non idle protect error is raised msg ID and "s_StatusInfo_FaultStatus" signal set to 1 in 0x610 msg ID.</t>
  </si>
  <si>
    <t>1.Send 0x10 msg ID and 0x18 msg ID.
2.Send the following data frame
0x610:$00 $00 $00 $00 $00 $00 $00 $04</t>
  </si>
  <si>
    <t>MOSFET error is raised with MIL and 3sec Beep when MOSFET error  is raised msg ID and "s_StatusInfo_FaultStatus" signal set to 1 in 0x610 msg ID.</t>
  </si>
  <si>
    <t>To verify that the MOSFET  error  is raised with MIL and 3sec Beep when Hall protect  error is raised msg ID and "s_StatusInfo_FaultStatus" signal set to 1 in 0x610 msg ID.</t>
  </si>
  <si>
    <t>1.Send 0x10 msg ID.
2.Send the following data frame
0x610:$10 $00 $00 $00 $00 $00 $20 $00</t>
  </si>
  <si>
    <t>MOSFET error  is raised with MIL and 3sec Beep when MOSFET error is raised msg ID and "s_StatusInfo_FaultStatus" signal set to 1 in 0x610 msg ID.</t>
  </si>
  <si>
    <t>To verify that theMOSFET error is raised with MIL and 3sec Beep when Hall protect  error is raised msg ID and "s_StatusInfo_FaultStatus" signal set to 1 in 0x610 msg ID.</t>
  </si>
  <si>
    <t>1.Send 0x10 msg ID.
2.Send the following data frame
0x610:$00 $00 $00 $00 $00 $00 $20 $00</t>
  </si>
  <si>
    <t>MOSFET error  is raised with MIL and 3sec Beep when MOSFET error  is raised msg ID and "s_StatusInfo_FaultStatus" signal set to 1 in 0x610 msg ID.</t>
  </si>
  <si>
    <t>To verify that the MOSFET error  is raised with MIL and 3sec Beep when Hall protect  error is raised msg ID and "s_StatusInfo_FaultStatus" signal set to 1 in 0x610 msg ID.</t>
  </si>
  <si>
    <t>1.Send 0x10 msg ID and 0x18 msg ID.
2.Send the following data frame
0x610:$01 $00 $00 $00 $00 $00 $20 $00</t>
  </si>
  <si>
    <t>MOSFET error is raised with MIL and 3sec Beep when MOSFET error is raised msg ID and "s_StatusInfo_FaultStatus" signal set to 1 in 0x610 msg ID.</t>
  </si>
  <si>
    <t>1.Send 0x10 msg ID and 0x18 msg ID.
2.Send the following data frame
0x610:$00 $00 $00 $00 $00 $00 $20 $00</t>
  </si>
  <si>
    <t>Brake switch fault SCB error is raised with MIL and 3sec Beep when Brake switch fault SCB error  is raised msg ID and "s_StatusInfo_FaultStatus" signal set to 1 in 0x610 msg ID.</t>
  </si>
  <si>
    <t>To verify that the Brake switch fault SCB error  is raised with MIL and 3sec Beep when Hall protect  error is raised msg ID and "s_StatusInfo_FaultStatus" signal set to 1 in 0x610 msg ID.</t>
  </si>
  <si>
    <t>1.Send 0x10 msg ID.
2.Send the following data frames
0x610:$10 $00 $00 $00 $00 $00 $00 $00
0x608:$00 $00 $00 $00 $00 $00 $00 $40</t>
  </si>
  <si>
    <t>Brake switch fault SCB error  is raised with MIL and 3sec Beep when MOSFET error is raised msg ID and "s_StatusInfo_FaultStatus" signal set to 1 in 0x610 msg ID.</t>
  </si>
  <si>
    <t>To verify that the Brake switch fault SCB error is raised with MIL and 3sec Beep when Hall protect  error is raised msg ID and "s_StatusInfo_FaultStatus" signal set to 1 in 0x610 msg ID.</t>
  </si>
  <si>
    <t>1.Send 0x10 msg ID.
2.Send the following data frames
0x610:$00 $00 $00 $00 $00 $00 $00 $00
0x608:$00 $00 $00 $00 $00 $00 $00 $40</t>
  </si>
  <si>
    <t>Brake switch fault SCB error  is raised with MIL and 3sec Beep when MOSFET error  is raised msg ID and "s_StatusInfo_FaultStatus" signal set to 1 in 0x610 msg ID.</t>
  </si>
  <si>
    <t>1.Send 0x10 msg ID and 0x18 msg ID.
2.Send the following data frames
0x610:$10 $00 $00 $00 $00 $00 $00 $00
0x608:$00 $00 $00 $00 $00 $00 $00 $40</t>
  </si>
  <si>
    <t>Brake switch fault SCB error is raised with MIL and 3sec Beep when MOSFET error is raised msg ID and "s_StatusInfo_FaultStatus" signal set to 1 in 0x610 msg ID.</t>
  </si>
  <si>
    <t>1.Send 0x10 msg ID and 0x18 msg ID.
2.Send the following data frames
0x610:$00 $00 $00 $00 $00 $00 $00 $00
0x608:$00 $00 $00 $00 $00 $00 $00 $40</t>
  </si>
  <si>
    <t>Start switch fault SCB error is raised with MIL and 3sec Beep when Start switch fault SCB error  is raised msg ID and "s_StatusInfo_FaultStatus" signal set to 1 in 0x610 msg ID.</t>
  </si>
  <si>
    <t>To verify that the Start switch fault SCB error  is raised with MIL and 3sec Beep when Hall protect  error is raised msg ID and "s_StatusInfo_FaultStatus" signal set to 1 in 0x610 msg ID.</t>
  </si>
  <si>
    <t>1.Send 0x10 msg ID.
2.Send the following data frames
0x610:$10 $00 $00 $00 $00 $00 $00 $00
0x606:$00 $00 $00 $00 $00 $10 $00 $00</t>
  </si>
  <si>
    <t>Start switch fault SCB error  is raised with MIL and 3sec Beep when Start switch fault SCB error is raised msg ID and "s_StatusInfo_FaultStatus" signal set to 1 in 0x610 msg ID.</t>
  </si>
  <si>
    <t>To verify that the Start switch fault SCB error is raised with MIL and 3sec Beep when Hall protect  error is raised msg ID and "s_StatusInfo_FaultStatus" signal set to 1 in 0x610 msg ID.</t>
  </si>
  <si>
    <t>1.Send 0x10 msg ID.
2.Send the following data frames
0x610:$00 $00 $00 $00 $00 $00 $00 $00
0x608:$00 $00 $00 $00 $00 $10 $00 $00</t>
  </si>
  <si>
    <t>Start switch fault SCB error  is raised with MIL and 3sec Beep when MOSFET error  is raised msg ID and "s_StatusInfo_FaultStatus" signal set to 1 in 0x610 msg ID.</t>
  </si>
  <si>
    <t>1.Send 0x10 msg ID and 0x18 msg ID.
2.Send the following data frames
0x610:$10 $00 $00 $00 $00 $00 $00 $00
0x608:$00 $00 $00 $00 $00 $10 $00 $00</t>
  </si>
  <si>
    <t>Start switch fault SCB error is raised with MIL and 3sec Beep when Start switch fault SCB error is raised msg ID and "s_StatusInfo_FaultStatus" signal set to 1 in 0x610 msg ID.</t>
  </si>
  <si>
    <t>1.Send 0x10 msg ID and 0x18 msg ID.
2.Send the following data frames
0x610:$00 $00 $00 $00 $00 $00 $00 $00
0x608:$00 $00 $00 $00 $00 $10 $00 $00</t>
  </si>
  <si>
    <t>Mode switch fault SCB error is raised with MIL and 3sec Beep when Mode switch fault SCB error  is raised msg ID and "s_StatusInfo_FaultStatus" signal set to 1 in 0x610 msg ID.</t>
  </si>
  <si>
    <t>To verify that the Mode switch fault SCB error  is raised with MIL and 3sec Beep when Hall protect  error is raised msg ID and "s_StatusInfo_FaultStatus" signal set to 1 in 0x610 msg ID.</t>
  </si>
  <si>
    <t>1.Send 0x10 msg ID.
2.Send the following data frames
0x610:$10 $00 $00 $00 $00 $00 $00 $00
0x606:$00 $00 $00 $00 $00 $20 $00 $00</t>
  </si>
  <si>
    <t>Mode switch fault SCB  error  is raised with MIL and 3sec Beep when Mode switch fault SCB error is raised msg ID and "s_StatusInfo_FaultStatus" signal set to 1 in 0x610 msg ID.</t>
  </si>
  <si>
    <t>To verify that the Mode switch fault SCB error is raised with MIL and 3sec Beep when Hall protect  error is raised msg ID and "s_StatusInfo_FaultStatus" signal set to 1 in 0x610 msg ID.</t>
  </si>
  <si>
    <t>1.Send 0x10 msg ID.
2.Send the following data frames
0x610:$00 $00 $00 $00 $00 $00 $00 $00
0x608:$00 $00 $00 $00 $00 $20 $00 $00</t>
  </si>
  <si>
    <t>Mode switch fault SCB error  is raised with MIL and 3sec Beep when Mode switch fault SCB  error  is raised msg ID and "s_StatusInfo_FaultStatus" signal set to 1 in 0x610 msg ID.</t>
  </si>
  <si>
    <t>1.Send 0x10 msg ID and 0x18 msg ID.
2.Send the following data frames
0x610:$10 $00 $00 $00 $00 $00 $00 $00
0x608:$00 $00 $00 $00 $00 $20 $00 $00</t>
  </si>
  <si>
    <t>Mode switch fault SCB error is raised with MIL and 3sec Beep when Mode switch fault SCB error is raised msg ID and "s_StatusInfo_FaultStatus" signal set to 1 in 0x610 msg ID.</t>
  </si>
  <si>
    <t>1.Send 0x10 msg ID and 0x18 msg ID.
2.Send the following data frames
0x610:$00 $00 $00 $00 $00 $00 $00 $00
0x608:$00 $00 $00 $00 $00 $20 $00 $00</t>
  </si>
  <si>
    <t>Side stand fault SCB error is raised with MIL and 3sec Beep when Side stand fault SCB error  is raised msg ID and "s_StatusInfo_FaultStatus" signal set to 1 in 0x610 msg ID.</t>
  </si>
  <si>
    <t>To verify that the Side stand fault SCB error  is raised with MIL and 3sec Beep when Hall protect  error is raised msg ID and "s_StatusInfo_FaultStatus" signal set to 1 in 0x610 msg ID.</t>
  </si>
  <si>
    <t>1.Send 0x10 msg ID.
2.Send the following data frames
0x610:$10 $00 $00 $00 $00 $00 $00 $00
0x606:$00 $00 $00 $00 $00 $40 $00 $00</t>
  </si>
  <si>
    <t>Side stand fault SCB  error  is raised with MIL and 3sec Beep when Side stand fault SCB error is raised msg ID and "s_StatusInfo_FaultStatus" signal set to 1 in 0x610 msg ID.</t>
  </si>
  <si>
    <t>To verify that the Side stand fault SCB error is raised with MIL and 3sec Beep when Hall protect  error is raised msg ID and "s_StatusInfo_FaultStatus" signal set to 1 in 0x610 msg ID.</t>
  </si>
  <si>
    <t>1.Send 0x10 msg ID.
2.Send the following data frames
0x610:$00 $00 $00 $00 $00 $00 $00 $00
0x608:$00 $00 $00 $00 $00 $40 $00 $00</t>
  </si>
  <si>
    <t>Side stand fault SCB error  is raised with MIL and 3sec Beep when Side stand fault SCB  error  is raised msg ID and "s_StatusInfo_FaultStatus" signal set to 1 in 0x610 msg ID.</t>
  </si>
  <si>
    <t>1.Send 0x10 msg ID and 0x18 msg ID.
2.Send the following data frames
0x610:$10 $00 $00 $00 $00 $00 $00 $00
0x608:$00 $00 $00 $00 $00 $40 $00 $00</t>
  </si>
  <si>
    <t>Side stand fault SCB error is raised with MIL and 3sec Beep when Side stand fault SCB error is raised msg ID and "s_StatusInfo_FaultStatus" signal set to 1 in 0x610 msg ID.</t>
  </si>
  <si>
    <t>1.Send 0x10 msg ID and 0x18 msg ID.
2.Send the following data frames
0x610:$00 $00 $00 $00 $00 $00 $00 $00
0x608:$00 $00 $00 $00 $00 $40 $00 $00</t>
  </si>
  <si>
    <t>Ignition switch fault SCB/SCG error is raised with MIL and 3sec Beep when Ignition switch fault SCB/SCG error  is raised msg ID and "s_StatusInfo_FaultStatus" signal set to 1 in 0x610 msg ID.</t>
  </si>
  <si>
    <t>To verify that the Ignition switch fault SCB/SCG error  is raised with MIL and 3sec Beep when Hall protect  error is raised msg ID and "s_StatusInfo_FaultStatus" signal set to 1 in 0x610 msg ID.</t>
  </si>
  <si>
    <t>1.Send 0x10 msg ID.
2.Send the following data frames
0x610:$10 $00 $00 $00 $00 $00 $00 $00
0x606:$00 $00 $00 $00 $00 $00 $02 $00</t>
  </si>
  <si>
    <t>Ignition switch fault SCB/SCG  error  is raised with MIL and 3sec Beep when Ignition switch fault SCB/SCG error is raised msg ID and "s_StatusInfo_FaultStatus" signal set to 1 in 0x610 msg ID.</t>
  </si>
  <si>
    <t>To verify that the Ignition switch fault SCB/SCG error is raised with MIL and 3sec Beep when Hall protect  error is raised msg ID and "s_StatusInfo_FaultStatus" signal set to 1 in 0x610 msg ID.</t>
  </si>
  <si>
    <t>1.Send 0x10 msg ID.
2.Send the following data frames
0x610:$00 $00 $00 $00 $00 $00 $00 $00
0x608:$00 $00 $00 $00 $00 $00 $02 $00</t>
  </si>
  <si>
    <t>Ignition switch fault SCB/SCG error  is raised with MIL and 3sec Beep when Ignition switch fault SCB/SCG  error  is raised msg ID and "s_StatusInfo_FaultStatus" signal set to 1 in 0x610 msg ID.</t>
  </si>
  <si>
    <t>1.Send 0x10 msg ID and 0x18 msg ID.
2.Send the following data frames
0x610:$10 $00 $00 $00 $00 $00 $00 $00
0x608:$00 $00 $00 $00 $00 $00 $02 $00</t>
  </si>
  <si>
    <t>Ignition switch fault SCB/SCG error is raised with MIL and 3sec Beep when Ignition switch fault SCB/SCG error is raised msg ID and "s_StatusInfo_FaultStatus" signal set to 1 in 0x610 msg ID.</t>
  </si>
  <si>
    <t>To verify that theIgnition switch fault SCB/SCG error  is raised with MIL and 3sec Beep when Hall protect  error is raised msg ID and "s_StatusInfo_FaultStatus" signal set to 1 in 0x610 msg ID.</t>
  </si>
  <si>
    <t>1.Send 0x10 msg ID and 0x18 msg ID.
2.Send the following data frames
0x610:$00 $00 $00 $00 $00 $00 $00 $00
0x608:$00 $00 $00 $00 $00 $00 $02 $00</t>
  </si>
  <si>
    <t>Kill switch fault SCB error is raised with MIL and 3sec Beep when Kill  switch fault SCB error  is raised msg ID and "s_StatusInfo_FaultStatus" signal set to 1 in 0x610 msg ID.</t>
  </si>
  <si>
    <t>To verify that the Kill switch fault SCB error  is raised with MIL and 3sec Beep when Hall protect  error is raised msg ID and "s_StatusInfo_FaultStatus" signal set to 1 in 0x610 msg ID.</t>
  </si>
  <si>
    <t>1.Send 0x10 msg ID.
2.Send the following data frames
0x610:$10 $00 $00 $00 $00 $00 $00 $00
0x606:$00 $00 $00 $00 $00 $00 $01 $00</t>
  </si>
  <si>
    <t>Kill switch fault SCB  error  is raised with MIL and 3sec Beep when Kill switch fault SCB error is raised msg ID and "s_StatusInfo_FaultStatus" signal set to 1 in 0x610 msg ID.</t>
  </si>
  <si>
    <t>To verify that the Kill switch fault SCB error is raised with MIL and 3sec Beep when Hall protect  error is raised msg ID and "s_StatusInfo_FaultStatus" signal set to 1 in 0x610 msg ID.</t>
  </si>
  <si>
    <t>1.Send 0x10 msg ID.
2.Send the following data frames
0x610:$00 $00 $00 $00 $00 $00 $00 $00
0x608:$00 $00 $00 $00 $00 $00 $01 $00</t>
  </si>
  <si>
    <t>Kill switch fault SCB error  is raised with MIL and 3sec Beep when Kill switch fault SCB  error  is raised msg ID and "s_StatusInfo_FaultStatus" signal set to 1 in 0x610 msg ID.</t>
  </si>
  <si>
    <t>1.Send 0x10 msg ID and 0x18 msg ID.
2.Send the following data frames
0x610:$10 $00 $00 $00 $00 $00 $00 $00
0x608:$00 $00 $00 $00 $00 $00 $01 $00</t>
  </si>
  <si>
    <t>Kill switch fault SCB error is raised with MIL and 3sec Beep when Kill switch fault SCB error is raised msg ID and "s_StatusInfo_FaultStatus" signal set to 1 in 0x610 msg ID.</t>
  </si>
  <si>
    <t>1.Send 0x10 msg ID and 0x18 msg ID.
2.Send the following data frames
0x610:$00 $00 $00 $00 $00 $00 $00 $00
0x608:$00 $00 $00 $00 $00 $00 $01 $00</t>
  </si>
  <si>
    <t>CAN timeout error is raised with MIL and 3sec Beep when CAN timeout error  is raised msg ID and "s_StatusInfo_FaultStatus" signal set to 1 in 0x610 msg ID.</t>
  </si>
  <si>
    <t>To verify that theCAN timeout error  is raised with MIL and 3sec Beep when Hall protect  error is raised msg ID and "s_StatusInfo_FaultStatus" signal set to 1 in 0x610 msg ID.</t>
  </si>
  <si>
    <t>CAN timeout  error  is raised with MIL and 3sec Beep when CAN timeout error is raised msg ID and "s_StatusInfo_FaultStatus" signal set to 1 in 0x610 msg ID.</t>
  </si>
  <si>
    <t>To verify that the CAN timeout error is raised with MIL and 3sec Beep when Hall protect  error is raised msg ID and "s_StatusInfo_FaultStatus" signal set to 1 in 0x610 msg ID.</t>
  </si>
  <si>
    <t>CAN timeout error  is raised with MIL and 3sec Beep when CAN timeout error  is raised msg ID and "s_StatusInfo_FaultStatus" signal set to 1 in 0x610 msg ID.</t>
  </si>
  <si>
    <t>To verify that the CAN timeout error  is raised with MIL and 3sec Beep when Hall protect  error is raised msg ID and "s_StatusInfo_FaultStatus" signal set to 1 in 0x610 msg ID.</t>
  </si>
  <si>
    <t>CAN timeout error is raised with MIL and 3sec Beep when CAN timeout error is raised msg ID and "s_StatusInfo_FaultStatus" signal set to 1 in 0x610 msg ID.</t>
  </si>
  <si>
    <t>Park switch fault SCB is raised with MIL and 3sec Beep when Park switch fault is raised msg ID and "s_StatusInfo_FaultStatus" signal set to 1 in 0x610 msg ID.</t>
  </si>
  <si>
    <t>To verify that the Park switch fault SCB  is raised with MIL and 3sec Beep when Hall protect  error is raised msg ID and "s_StatusInfo_FaultStatus" signal set to 1 in 0x610 msg ID.</t>
  </si>
  <si>
    <t>1.Send 0x10 msg ID.
2.Send the following data frames
0x610:$10 $00 $00 $00 $00 $00 $00 $00
0x606:$00 $00 $00 $00 $00 $80 $00 $00</t>
  </si>
  <si>
    <t>Park switch fault SCB  is raised with MIL and 3sec Beep when Park switch fault SCB  is raised msg ID and "s_StatusInfo_FaultStatus" signal set to 1 in 0x610 msg ID.</t>
  </si>
  <si>
    <t>1.Send 0x10 msg ID.
2.Send the following data frames
0x610:$00 $00 $00 $00 $00 $00 $00 $00
0x606:$00 $00 $00 $00 $00 $80 $00 $00</t>
  </si>
  <si>
    <t>Park switch fault SCB  is raised with MIL and 3sec Beep when Park switch fault SCB   is raised msg ID and "s_StatusInfo_FaultStatus" signal set to 1 in 0x610 msg ID.</t>
  </si>
  <si>
    <t>To verify that the Park switch fault SCB   is raised with MIL and 3sec Beep when Hall protect  error is raised msg ID and "s_StatusInfo_FaultStatus" signal set to 1 in 0x610 msg ID.</t>
  </si>
  <si>
    <t>1.Send 0x10 msg ID and 0x18 msg ID.
2.Send the following data frames
0x610:$10 $00 $00 $00 $00 $00 $00 $00
0x606:$00 $00 $00 $00 $00 $80 $00 $00</t>
  </si>
  <si>
    <t>1.Send 0x10 msg ID and 0x18 msg ID.
2.Send the following data frames
0x610:$00 $00 $00 $00 $00 $00 $00 $00
0x606:$00 $00 $00 $00 $00 $80 $00 $00</t>
  </si>
  <si>
    <t>MotorCrntSen_Uphase_Fault  is raised with MIL and 3sec Beep when MotorCrntSen_Uphase_Fault    is raised msg ID and "s_StatusInfo_FaultStatus" signal set to 1 in 0x610 msg ID.</t>
  </si>
  <si>
    <t>To verify that the MotorCrntSen_Uphase_Fault  is raised with MIL and 3sec Beep when Hall protect  error is raised msg ID and "s_StatusInfo_FaultStatus" signal set to 1 in 0x610 msg ID.</t>
  </si>
  <si>
    <t>1.Send 0x10 msg ID.
2.Send the following data frames
0x610:$10 $00 $00 $00 $00 $00 $00 $00
0x608:$00 $00 $00 $00 $00 $00 $00 $20</t>
  </si>
  <si>
    <t>MotorCrntSen_Uphase_Fault    is raised with MIL and 3sec Beep when MotorCrntSen_Uphase_Fault     is raised msg ID and "s_StatusInfo_FaultStatus" signal set to 1 in 0x610 msg ID.</t>
  </si>
  <si>
    <t>1.Send 0x10 msg ID.
2.Send the following data frames
0x610:$00 $00 $00 $00 $00 $00 $00 $00
0x608:$00 $00 $00 $00 $00 $00 $00 $20</t>
  </si>
  <si>
    <t>MotorCrntSen_Uphase_Fault    is raised with MIL and 3sec Beep when MotorCrntSen_Uphase_Fault    is raised msg ID and "s_StatusInfo_FaultStatus" signal set to 1 in 0x610 msg ID.</t>
  </si>
  <si>
    <t>1.Send 0x10 msg ID and 0x18 msg ID.
2.Send the following data frames
0x610:$10 $00 $00 $00 $00 $00 $00 $00
0x608:$00 $00 $00 $00 $00 $00 $00 $20</t>
  </si>
  <si>
    <t>MotorCrntSen_Uphase_Fault     is raised with MIL and 3sec Beep when MotorCrntSen_Uphase_Fault     is raised msg ID and "s_StatusInfo_FaultStatus" signal set to 1 in 0x610 msg ID.</t>
  </si>
  <si>
    <t>1.Send 0x10 msg ID and 0x18 msg ID.
2.Send the following data frames
0x610:$00 $00 $00 $00 $00 $00 $00 $00
0x608:$00 $00 $00 $00 $00 $00 $00 $20</t>
  </si>
  <si>
    <t>MotorCrntSen_Vphase_Fault  is raised with MIL and 3sec Beep when MotorCrntSen_Vphase_Fault  is raised msg ID and "s_StatusInfo_FaultStatus" signal set to 1 in 0x610 msg ID.</t>
  </si>
  <si>
    <t>To verify that the MotorCrntSen_Vphase_Fault  is raised with MIL and 3sec Beep when Hall protect  error is raised msg ID and "s_StatusInfo_FaultStatus" signal set to 1 in 0x610 msg ID.</t>
  </si>
  <si>
    <t>MotorCrntSen_Wphase_Fault  is raised with MIL and 3sec Beep when MotorCrntSen_Wphase_Fault  is raised msg ID and "s_StatusInfo_FaultStatus" signal set to 1 in 0x610 msg ID.</t>
  </si>
  <si>
    <t>To verify that the MotorCrntSen_Wphase_Fault  is raised with MIL and 3sec Beep when Hall protect  error is raised msg ID and "s_StatusInfo_FaultStatus" signal set to 1 in 0x610 msg ID.</t>
  </si>
  <si>
    <t>5V line issue/ Supply Fault 5V is raised with MIL and 3sec Beep when 5V line issue/ Supply Fault 5V is raised msg ID and "s_StatusInfo_FaultStatus" signal set to 1 in 0x610 msg ID.</t>
  </si>
  <si>
    <t>To verify that the 5V line issue/ Supply Fault 5V is raised with MIL and 3sec Beep when Hall protect  error is raised msg ID and "s_StatusInfo_FaultStatus" signal set to 1 in 0x610 msg ID.</t>
  </si>
  <si>
    <t>1.Send 0x10 msg ID.
2.Send the following data frames
0x610:$10 $00 $00 $00 $00 $00 $00 $00
0x608:$00 $00 $00 $00 $00 $00 $10 $00</t>
  </si>
  <si>
    <t>1.Send 0x10 msg ID.
2.Send the following data frames
0x610:$00 $00 $00 $00 $00 $00 $00 $00
0x608:$00 $00 $00 $00 $00 $00 $10 $00</t>
  </si>
  <si>
    <t>1.Send 0x10 msg ID and 0x18 msg ID.
2.Send the following data frames
0x610:$10 $00 $00 $00 $00 $00 $00 $00
0x608:$00 $00 $00 $00 $00 $00 $10 $00</t>
  </si>
  <si>
    <t>1.Send 0x10 msg ID and 0x18 msg ID.
2.Send the following data frames
0x610:$00 $00 $00 $00 $00 $00 $00 $00
0x608:$00 $00 $00 $00 $00 $00 $10 $00</t>
  </si>
  <si>
    <t>DC Current Fault is raised with MIL and 3sec Beep when DC Current Fault is raised msg ID and "s_StatusInfo_FaultStatus" signal set to 1 in 0x610 msg ID.</t>
  </si>
  <si>
    <t>To verify that the DC Current Fault is raised with MIL and 3sec Beep when Hall protect  error is raised msg ID and "s_StatusInfo_FaultStatus" signal set to 1 in 0x610 msg ID.</t>
  </si>
  <si>
    <t>1.Send 0x10 msg ID.
2.Send the following data frames
0x610:$10 $00 $00 $00 $00 $00 $00 $00
0x612:$00 $00 $00 $01 $00 $00 $00 $00</t>
  </si>
  <si>
    <t>1.Send 0x10 msg ID.
2.Send the following data frames
0x610:$00 $00 $00 $00 $00 $00 $00 $00
0x612:$00 $00 $00 $01 $00 $00 $00 $00</t>
  </si>
  <si>
    <t>1.Send 0x10 msg ID and 0x18 msg ID.
2.Send the following data frames
0x610:$10 $00 $00 $00 $00 $00 $00 $00
0x612:$00 $00 $00 $01 $00 $00 $00 $00</t>
  </si>
  <si>
    <t>1.Send 0x10 msg ID and 0x18 msg ID.
2.Send the following data frames
0x610:$00 $00 $00 $00 $00 $00 $00 $00
0x612:$00 $00 $00 $01 $00 $00 $00 $00</t>
  </si>
  <si>
    <t>Winding / motor short Fault is raised with MIL and 3sec Beep whenWinding / motor short Fault is raised msg ID and "s_StatusInfo_FaultStatus" signal set to 1 in 0x610 msg ID.</t>
  </si>
  <si>
    <t>To verify that the Winding / motor short Fault is raised with MIL and 3sec Beep when Hall protect  error is raised msg ID and "s_StatusInfo_FaultStatus" signal set to 1 in 0x610 msg ID.</t>
  </si>
  <si>
    <t>Winding / motor short Fault is raised with MIL and 3sec Beep when Winding / motor short Fault is raised msg ID and "s_StatusInfo_FaultStatus" signal set to 1 in 0x610 msg ID.</t>
  </si>
  <si>
    <t>Pre charge ack Fault is raised with MIL and 3sec Beep when Pre charge ack Fault is raised msg ID and "s_StatusInfo_FaultStatus" signal set to 1 in 0x610 msg ID.</t>
  </si>
  <si>
    <t>To verify that the Pre charge ack Fault is raised with MIL and 3sec Beep when Hall protect  error is raised msg ID and "s_StatusInfo_FaultStatus" signal set to 1 in 0x610 msg ID.</t>
  </si>
  <si>
    <t>CC exit MCU Fault is raised with MIL and 3sec Beep when CC exit MCU  Fault is raised msg ID and "s_StatusInfo_FaultStatus" signal set to 1 in 0x610 msg ID.</t>
  </si>
  <si>
    <t>To verify that the CC exit MCU fault is raised with MIL and 3sec Beep when Hall protect  error is raised msg ID and "s_StatusInfo_FaultStatus" signal set to 1 in 0x610 msg ID.</t>
  </si>
  <si>
    <t>CC exit MCU fault is raised with MIL and 3sec Beep when CC exit MCU Fault is raised msg ID and "s_StatusInfo_FaultStatus" signal set to 1 in 0x610 msg ID.</t>
  </si>
  <si>
    <t>CC exit MCU Fault is raised with MIL and 3sec Beep when CC exit MCU fault is raised msg ID and "s_StatusInfo_FaultStatus" signal set to 1 in 0x610 msg ID.</t>
  </si>
  <si>
    <t>CC_Fail_BrakePress is raised with MIL and 3sec Beep when CC_Fail_BrakePress is raised msg ID and "s_StatusInfo_FaultStatus" signal set to 1 in 0x610 msg ID.</t>
  </si>
  <si>
    <t>To verify that the CC_Fail_BrakePress is raised with MIL and 3sec Beep when Hall protect  error is raised msg ID and "s_StatusInfo_FaultStatus" signal set to 1 in 0x610 msg ID.</t>
  </si>
  <si>
    <t>1.Send 0x10 msg ID.
2.Send the following data frames
0x610:$10 $00 $00 $00 $00 $00 $00 $00
0x612:$00 $00 $00 $00 $00 $00 $00 $20</t>
  </si>
  <si>
    <t>1.Send 0x10 msg ID.
2.Send the following data frames
0x610:$00 $00 $00 $00 $00 $00 $00 $00
0x612:$00 $00 $00 $00 $00 $00 $00 $20</t>
  </si>
  <si>
    <t xml:space="preserve">1.Bit 61 should be 0 in 0x788 msg ID.
</t>
  </si>
  <si>
    <t>1.Send 0x10 msg ID and 0x18 msg ID.
2.Send the following data frames
0x610:$10 $00 $00 $00 $00 $00 $00 $00
0x612:$00 $00 $00 $00 $00 $00 $00 $20</t>
  </si>
  <si>
    <t xml:space="preserve">1.Bit 61 should be raised to 1 in 0x788 msg ID.
</t>
  </si>
  <si>
    <t>1.Send 0x10 msg ID and 0x18 msg ID.
2.Send the following data frames
0x610:$00 $00 $00 $00 $00 $00 $00 $00
0x607:$00 $00 $00 $00 $00 $00 $00 $20</t>
  </si>
  <si>
    <t>Kill switch fault SCG is raised with MIL and 3sec Beep when Kill switch fault SCG is raised msg ID and "s_StatusInfo_FaultStatus" signal set to 1 in 0x610 msg ID.</t>
  </si>
  <si>
    <t>To verify that the Kill switch fault SCG is raised with MIL and 3sec Beep when Hall protect  error is raised msg ID and "s_StatusInfo_FaultStatus" signal set to 1 in 0x610 msg ID.</t>
  </si>
  <si>
    <t>1.Send 0x10 msg ID.
2.Send the following data frames
0x610:$10 $00 $00 $00 $00 $00 $00 $00
0x606:$00 $00 $00 $00 $80 $00 $00 $00</t>
  </si>
  <si>
    <t>1.Byte2 Bit 0 should be raised to 1 in 0x788 msg ID.
2.MIL and Beep should not come.</t>
  </si>
  <si>
    <t>To verify that the Kill switch fault SCGis raised with MIL and 3sec Beep when Hall protect  error is raised msg ID and "s_StatusInfo_FaultStatus" signal set to 1 in 0x610 msg ID.</t>
  </si>
  <si>
    <t>1.Send 0x10 msg ID.
2.Send the following data frames
0x610:$00 $00 $00 $00 $00 $00 $00 $00
0x606:$00 $00 $00 $00 $80 $00 $00 $00</t>
  </si>
  <si>
    <t>1.Byte2 Bit0 should be 0 in 0x788 msg ID.
2.MIL and Beep should not come.</t>
  </si>
  <si>
    <t>1.Send 0x10 msg ID and 0x18 msg ID.
2.Send the following data frames
0x610:$10 $00 $00 $00 $00 $00 $00 $00
0x606:$00 $00 $00 $00 $80 $00 $00 $00</t>
  </si>
  <si>
    <t>1.Send 0x10 msg ID and 0x18 msg ID.
2.Send the following data frames
0x610:$00 $00 $00 $00 $00 $00 $00 $00
0x606:$00 $00 $00 $00 $80 $00 $00 $00</t>
  </si>
  <si>
    <t xml:space="preserve">1.Byte2 Bit0 should be 0 in 0x788 msg ID.
2.MIL and Beep should not come.
</t>
  </si>
  <si>
    <t>Mode sticky fault is raised with MIL and 3sec Beep when Mode sticky fault SCG is raised msg ID and "s_StatusInfo_FaultStatus" signal set to 1 in 0x610 msg ID.</t>
  </si>
  <si>
    <t>To verify that the Mode sticky fault is raised with MIL and 3sec Beep when Hall protect  error is raised msg ID and "s_StatusInfo_FaultStatus" signal set to 1 in 0x610 msg ID.</t>
  </si>
  <si>
    <t>1.Send 0x10 msg ID.
2.Send the following data frames
0x610:$10 $00 $00 $00 $00 $00 $00 $00
0x606:$00 $40 $00 $00 $00 $00 $00 $00</t>
  </si>
  <si>
    <t>Mode sticky fault  is raised with MIL and 3sec Beep when Mode sticky fault  is raised msg ID and "s_StatusInfo_FaultStatus" signal set to 1 in 0x610 msg ID.</t>
  </si>
  <si>
    <t>To verify that theMode sticky fault is raised with MIL and 3sec Beep when Hall protect  error is raised msg ID and "s_StatusInfo_FaultStatus" signal set to 1 in 0x610 msg ID.</t>
  </si>
  <si>
    <t>1.Send 0x10 msg ID.
2.Send the following data frames
0x610:$00 $00 $00 $00 $00 $00 $00 $00
0x606:$00 $40 $00 $00 $00 $00 $00 $00</t>
  </si>
  <si>
    <t>Mode sticky fault  is raised with MIL and 3sec Beep whenMode sticky fault  is raised msg ID and "s_StatusInfo_FaultStatus" signal set to 1 in 0x610 msg ID.</t>
  </si>
  <si>
    <t>1.Send 0x10 msg ID and 0x18 msg ID.
2.Send the following data frames
0x610:$10 $00 $00 $00 $00 $00 $00 $00
0x606:$00 $40 $00 $00 $00 $00 $00 $00</t>
  </si>
  <si>
    <t>1.Send 0x10 msg ID and 0x18 msg ID.
2.Send the following data frames
0x610:$00 $00 $00 $00 $00 $00 $00 $00
0x606:$00 $40 $00 $00 $00 $00 $00 $00</t>
  </si>
  <si>
    <t>Brake sticky fault is raised with MIL and 3sec Beep when Brake sticky fault SCG is raised msg ID and "s_StatusInfo_FaultStatus" signal set to 1 in 0x610 msg ID.</t>
  </si>
  <si>
    <t>To verify that the Brake sticky fault is raised with MIL and 3sec Beep when Hall protect  error is raised msg ID and "s_StatusInfo_FaultStatus" signal set to 1 in 0x610 msg ID.</t>
  </si>
  <si>
    <t>1.Send 0x10 msg ID.
2.Send the following data frames
0x610:$10 $00 $00 $00 $00 $00 $00 $00
0x606:$00 $00 $00 $00 $00 $02 $00 $00</t>
  </si>
  <si>
    <t>Brake sticky fault  is raised with MIL and 3sec Beep when Brake sticky fault  is raised msg ID and "s_StatusInfo_FaultStatus" signal set to 1 in 0x610 msg ID.</t>
  </si>
  <si>
    <t>1.Send 0x10 msg ID.
2.Send the following data frames
0x610:$00 $00 $00 $00 $00 $00 $00 $00
0x606:$00 $00 $00 $00 $00 $02 $00 $00</t>
  </si>
  <si>
    <t>1.Send 0x10 msg ID and 0x18 msg ID.
2.Send the following data frames
0x610:$10 $00 $00 $00 $00 $00 $00 $00
0x606:$00 $00 $00 $00 $00 $02 $00 $00</t>
  </si>
  <si>
    <t>1.Send 0x10 msg ID and 0x18 msg ID.
2.Send the following data frames
0x610:$00 $00 $00 $00 $00 $00 $00 $00
0x606:$00 $00 $00 $00 $00 $02 $00 $00</t>
  </si>
  <si>
    <t>Start sticky fault is raised with MIL and 3sec Beep when Start sticky fault SCG is raised msg ID and "s_StatusInfo_FaultStatus" signal set to 1 in 0x610 msg ID.</t>
  </si>
  <si>
    <t>To verify that the Start sticky fault is raised with MIL and 3sec Beep when Hall protect  error is raised msg ID and "s_StatusInfo_FaultStatus" signal set to 1 in 0x610 msg ID.</t>
  </si>
  <si>
    <t>1.Send 0x10 msg ID.
2.Send the following data frames
0x610:$10 $00 $00 $00 $00 $00 $00 $00
0x606:$00 $00 $00 $00 $00 $04 $00 $00</t>
  </si>
  <si>
    <t>Start sticky fault  is raised with MIL and 3sec Beep when Start sticky fault  is raised msg ID and "s_StatusInfo_FaultStatus" signal set to 1 in 0x610 msg ID.</t>
  </si>
  <si>
    <t>1.Send 0x10 msg ID.
2.Send the following data frames
0x610:$00 $00 $00 $00 $00 $00 $00 $00
0x606:$00 $00 $00 $00 $00 $04 $00 $00</t>
  </si>
  <si>
    <t>1.Send 0x10 msg ID and 0x18 msg ID.
2.Send the following data frames
0x610:$10 $00 $00 $00 $00 $00 $00 $00
0x606:$00 $00 $00 $00 $00 $04 $00 $00</t>
  </si>
  <si>
    <t>1.Send 0x10 msg ID and 0x18 msg ID.
2.Send the following data frames
0x610:$00 $00 $00 $00 $00 $00 $00 $00
0x606:$00 $00 $00 $00 $00 $04 $00 $00</t>
  </si>
  <si>
    <t>Park sticky fault is raised with MIL and 3sec Beep when Park sticky fault SCG is raised msg ID and "s_StatusInfo_FaultStatus" signal set to 1 in 0x610 msg ID.</t>
  </si>
  <si>
    <t>To verify that the Park sticky fault is raised with MIL and 3sec Beep when Hall protect  error is raised msg ID and "s_StatusInfo_FaultStatus" signal set to 1 in 0x610 msg ID.</t>
  </si>
  <si>
    <t>Park sticky fault  is raised with MIL and 3sec Beep when Park sticky fault  is raised msg ID and "s_StatusInfo_FaultStatus" signal set to 1 in 0x610 msg ID.</t>
  </si>
  <si>
    <t>Cruise sticky fault is raised with MIL and 3sec Beep when Cruise sticky fault SCG is raised msg ID and "s_StatusInfo_FaultStatus" signal set to 1 in 0x610 msg ID.</t>
  </si>
  <si>
    <t>To verify that the Cruise sticky fault is raised with MIL and 3sec Beep when Hall protect  error is raised msg ID and "s_StatusInfo_FaultStatus" signal set to 1 in 0x610 msg ID.</t>
  </si>
  <si>
    <t>Cruise sticky fault  is raised with MIL and 3sec Beep when Cruise sticky fault  is raised msg ID and "s_StatusInfo_FaultStatus" signal set to 1 in 0x610 msg ID.</t>
  </si>
  <si>
    <t>Over voltage derating is raised with MIL and 3sec Beep when Over voltage derating is raised msg ID and "s_StatusInfo_FaultStatus" signal set to 1 in 0x610 msg ID.</t>
  </si>
  <si>
    <t>To verify that the Over voltage derating is raised with MIL and 3sec Beep when Hall protect  error is raised msg ID and "s_StatusInfo_FaultStatus" signal set to 1 in 0x610 msg ID.</t>
  </si>
  <si>
    <t>1.Send 0x10 msg ID.
2.Send the following data frames
0x610:$10 $00 $00 $00 $00 $00 $00 $00
0x606:$00 $20 $00 $00 $00 $00 $00 $00</t>
  </si>
  <si>
    <t>Over voltage derating  is raised with MIL and 3sec Beep when Over voltage derating  is raised msg ID and "s_StatusInfo_FaultStatus" signal set to 1 in 0x610 msg ID.</t>
  </si>
  <si>
    <t>1.Send 0x10 msg ID.
2.Send the following data frames
0x610:$00 $00 $00 $00 $00 $00 $00 $00
0x606:$00 $20 $00 $00 $00 $00 $00 $00</t>
  </si>
  <si>
    <t>1.Send 0x10 msg ID and 0x18 msg ID.
2.Send the following data frames
0x610:$10 $00 $00 $00 $00 $00 $00 $00
0x606:$00 $20 $00 $00 $00 $00 $00 $00</t>
  </si>
  <si>
    <t>1.Send 0x10 msg ID and 0x18 msg ID.
2.Send the following data frames
0x610:$00 $00 $00 $00 $00 $00 $00 $00
0x606:$00 $20 $00 $00 $00 $00 $00 $00</t>
  </si>
  <si>
    <t>Break Switch fault SCG is raised with MIL and 3sec Beep when Break Switch fault SCG is raised msg ID and "s_StatusInfo_FaultStatus" signal set to 1 in 0x610 msg ID.</t>
  </si>
  <si>
    <t>To verify that the Break Switch fault SCG is raised with MIL and 3sec Beep when Hall protect  error is raised msg ID and "s_StatusInfo_FaultStatus" signal set to 1 in 0x610 msg ID.</t>
  </si>
  <si>
    <t>Break Switch fault SCG  is raised with MIL and 3sec Beep when Break Switch fault SCG is raised msg ID and "s_StatusInfo_FaultStatus" signal set to 1 in 0x610 msg ID.</t>
  </si>
  <si>
    <t>Break Switch fault SCG  is raised with MIL and 3sec Beep when Break Switch fault SCG  is raised msg ID and "s_StatusInfo_FaultStatus" signal set to 1 in 0x610 msg ID.</t>
  </si>
  <si>
    <t>Start Switch fault SCG is raised with MIL and 3sec Beep when Start Switch fault SCG is raised msg ID and "s_StatusInfo_FaultStatus" signal set to 1 in 0x610 msg ID.</t>
  </si>
  <si>
    <t>To verify that the Start Switch fault SCG is raised with MIL and 3sec Beep when Hall protect  error is raised msg ID and "s_StatusInfo_FaultStatus" signal set to 1 in 0x610 msg ID.</t>
  </si>
  <si>
    <t>1.Send 0x10 msg ID.
2.Send the following data frames
0x610:$10 $00 $00 $00 $00 $00 $00 $00
0x608:$00 $00 $00 $00 $00 $00 $00 $80</t>
  </si>
  <si>
    <t>Start Switch fault SCG  is raised with MIL and 3sec Beep when Start Switch fault SCG is raised msg ID and "s_StatusInfo_FaultStatus" signal set to 1 in 0x610 msg ID.</t>
  </si>
  <si>
    <t>1.Send 0x10 msg ID.
2.Send the following data frames
0x610:$00 $00 $00 $00 $00 $00 $00 $00
0x608:$00 $00 $00 $00 $00 $00 $00 $80</t>
  </si>
  <si>
    <t>Start Switch fault SCG  is raised with MIL and 3sec Beep when Start Switch fault SCG  is raised msg ID and "s_StatusInfo_FaultStatus" signal set to 1 in 0x610 msg ID.</t>
  </si>
  <si>
    <t>1.Send 0x10 msg ID and 0x18 msg ID.
2.Send the following data frames
0x610:$10 $00 $00 $00 $00 $00 $00 $00
0x608:$00 $00 $00 $00 $00 $00 $00 $80</t>
  </si>
  <si>
    <t>1.Send 0x10 msg ID and 0x18 msg ID.
2.Send the following data frames
0x610:$00 $00 $00 $00 $00 $00 $00 $00
0x608:$00 $00 $00 $00 $00 $00 $00 $80</t>
  </si>
  <si>
    <t>Mode Switch fault SCG is raised with MIL and 3sec Beep when Mode Switch fault SCG is raised msg ID and "s_StatusInfo_FaultStatus" signal set to 1 in 0x610 msg ID.</t>
  </si>
  <si>
    <t>To verify that the Mode Switch fault SCG is raised with MIL and 3sec Beep when Hall protect  error is raised msg ID and "s_StatusInfo_FaultStatus" signal set to 1 in 0x610 msg ID.</t>
  </si>
  <si>
    <t>1.Send 0x10 msg ID.
2.Send the following data frames
0x610:$10 $00 $00 $00 $00 $00 $00 $00
0x608:$00 $00 $00 $00 $00 $00 $20 $00</t>
  </si>
  <si>
    <t>Mode Switch fault SCG  is raised with MIL and 3sec Beep when Mode Switch fault SCG is raised msg ID and "s_StatusInfo_FaultStatus" signal set to 1 in 0x610 msg ID.</t>
  </si>
  <si>
    <t>1.Send 0x10 msg ID.
2.Send the following data frames
0x610:$00 $00 $00 $00 $00 $00 $00 $00
0x608:$00 $00 $00 $00 $00 $00 $20 $00</t>
  </si>
  <si>
    <t>Mode Switch fault SCG  is raised with MIL and 3sec Beep when Mode Switch fault SCG  is raised msg ID and "s_StatusInfo_FaultStatus" signal set to 1 in 0x610 msg ID.</t>
  </si>
  <si>
    <t>1.Send 0x10 msg ID and 0x18 msg ID.
2.Send the following data frames
0x610:$10 $00 $00 $00 $00 $00 $00 $00
0x608:$00 $00 $00 $00 $00 $00 $20 $00</t>
  </si>
  <si>
    <t>1.Send 0x10 msg ID and 0x18 msg ID.
2.Send the following data frames
0x610:$00 $00 $00 $00 $00 $00 $00 $00
0x608:$00 $00 $00 $00 $00 $00 $20 $00</t>
  </si>
  <si>
    <t>Park Switch fault SCG is raised with MIL and 3sec Beep when Park Switch fault SCG is raised msg ID and "s_StatusInfo_FaultStatus" signal set to 1 in 0x610 msg ID.</t>
  </si>
  <si>
    <t>To verify that the Park Switch fault SCG is raised with MIL and 3sec Beep when Hall protect  error is raised msg ID and "s_StatusInfo_FaultStatus" signal set to 1 in 0x610 msg ID.</t>
  </si>
  <si>
    <t>1.Send 0x10 msg ID.
2.Send the following data frames
0x610:$10 $00 $00 $00 $00 $00 $00 $00
0x608:$00 $00 $00 $00 $00 $00 $80 $00</t>
  </si>
  <si>
    <t>Park Switch fault SCG  is raised with MIL and 3sec Beep when Park Switch fault SCG is raised msg ID and "s_StatusInfo_FaultStatus" signal set to 1 in 0x610 msg ID.</t>
  </si>
  <si>
    <t>1.Send 0x10 msg ID.
2.Send the following data frames
0x610:$00 $00 $00 $00 $00 $00 $00 $00
0x608:$00 $00 $00 $00 $00 $00 $80 $00</t>
  </si>
  <si>
    <t>Park Switch fault SCG  is raised with MIL and 3sec Beep when Park Switch fault SCG  is raised msg ID and "s_StatusInfo_FaultStatus" signal set to 1 in 0x610 msg ID.</t>
  </si>
  <si>
    <t>1.Send 0x10 msg ID and 0x18 msg ID.
2.Send the following data frames
0x610:$10 $00 $00 $00 $00 $00 $00 $00
0x608:$00 $00 $00 $00 $00 $00 $80 $00</t>
  </si>
  <si>
    <t>1.Send 0x10 msg ID and 0x18 msg ID.
2.Send the following data frames
0x610:$00 $00 $00 $00 $00 $00 $00 $00
0x608:$00 $00 $00 $00 $00 $00 $80 $00</t>
  </si>
  <si>
    <t>Cruise Switch fault SCG is raised with MIL and 3sec Beep when Cruise Switch fault SCG is raised msg ID and "s_StatusInfo_FaultStatus" signal set to 1 in 0x610 msg ID.</t>
  </si>
  <si>
    <t>To verify that the Cruise Switch fault SCG is raised with MIL and 3sec Beep when Hall protect  error is raised msg ID and "s_StatusInfo_FaultStatus" signal set to 1 in 0x610 msg ID.</t>
  </si>
  <si>
    <t>Cruise Switch fault SCG  is raised with MIL and 3sec Beep when Cruise Switch fault SCG is raised msg ID and "s_StatusInfo_FaultStatus" signal set to 1 in 0x610 msg ID.</t>
  </si>
  <si>
    <t>Cruise Switch fault SCG  is raised with MIL and 3sec Beep when Cruise Switch fault SCG  is raised msg ID and "s_StatusInfo_FaultStatus" signal set to 1 in 0x610 msg ID.</t>
  </si>
  <si>
    <t>1.To Verify that ECU is entering default session to default session</t>
  </si>
  <si>
    <t>1.0x7C5 message should come twice.</t>
  </si>
  <si>
    <t xml:space="preserve">1.Request to ECU Default session
$02 $10 $01 
2.Request to ECU Default session
$02 $10 $01 </t>
  </si>
  <si>
    <t>1.Observe the requested frame response as follows:
$06 $50 $01 $00 $32 $13 $88
2.Observe the requested frame response as follows:
$06 $50 $01 $00 $32 $13 $88</t>
  </si>
  <si>
    <t>1.To Verify that ECU is entering from default session to Programming session.</t>
  </si>
  <si>
    <t xml:space="preserve">1.Request to ECU Default session
$02 $10 $01 
2.Request to ECU programming  session
$02 $10 $02 </t>
  </si>
  <si>
    <t>1.Observe the requested frame response as follows:
$06 $50 $01 $00 $32 $13 $88
2.Observe the requested frame response as follows:
$06 $50 $02 $00 $32 $13 $89</t>
  </si>
  <si>
    <t>1.To Verify that ECU is entering default session to extended session</t>
  </si>
  <si>
    <t>1.Request to ECU Default session
$02 $10 $01 
2.Request to ECU Extended  session
$02 $10 $03</t>
  </si>
  <si>
    <t>1.Observe the requested frame response as follows:
$06 $50 $01 $00 $32 $13 $88
2.Observe the requested frame response as follows:
$06 $50 $03 $00 $32 $13 $88</t>
  </si>
  <si>
    <t>1.To Verify that ECU is entering programming session to programming session</t>
  </si>
  <si>
    <t xml:space="preserve">1.Request to ECU Default session
$02 $10 $01 
2.Request to ECU programming  session
$02 $10 $02 
3..Request to ECU programming  session
$02 $10 $02 </t>
  </si>
  <si>
    <t>1.Observe the requested frame response as follows:
$06 $50 $01 $00 $32 $13 $88
2.Observe the requested frame response as follows:
$06 $50 $02 $00 $32 $13 $88
3.Observe the requested frame response as follows:
$06 $50 $02 $00 $32 $13 $88</t>
  </si>
  <si>
    <t>1.To Verify that ECU is entering from Extended session to Extended session</t>
  </si>
  <si>
    <t>1.Request to ECU Default session
$02 $10 $01 
2.Request to ECU extended  session
$02 $10 $02 
3..Request to ECU extended  session
$02 $10 $03</t>
  </si>
  <si>
    <t>1.Observe the requested frame response as follows:
$06 $50 $03 $00 $32 $13 $88
3.Observe the requested frame response as follows:
$06 $50 $03 $00 $32 $13 $88
2.Observe the requested frame response as follows:
$06 $50 $02 $00 $32 $13 $88</t>
  </si>
  <si>
    <t>1.To Verify NRC-11(Service not supported)  is not supported in default session.</t>
  </si>
  <si>
    <t xml:space="preserve">1.Request to ECU Default session
$02 $10 $01 
2.Request to ECU -  
$02 $13 $01 </t>
  </si>
  <si>
    <t>1.Observe the requested frame response as follows:
$06 $50 $03 $00 $32 $13 $88
2.Observe the requested frame response as follows:
$03 $7F $13 $11 $BB $BB $BB $BB</t>
  </si>
  <si>
    <t>1.To Verify NRC-11(Service not supported) in programming session session.</t>
  </si>
  <si>
    <t xml:space="preserve">1.Request to ECU Default session
$02 $10 $01 
2.Request to ECU programming session
$02 $10 $02 
3.Request to ECU -
$02 $13 $02 </t>
  </si>
  <si>
    <t>1.Observe the requested frame response as follows:
$06 $50 $01 $00 $32 $13 $88
2.Observe the requested frame response as follows:
$06 $50 $02 $00 $32 $13 $88
3.Observe the requested frame response as follows:
$03 $7F $13 $11 $BB $BB $BB $BB</t>
  </si>
  <si>
    <t>1.To Verify NRC-11(Service not supported)  is not supported in extended session.</t>
  </si>
  <si>
    <t>1.Request to ECU Default session
$02 $10 $01 
2.Request to ECU programming session
$02 $10 $03
3.Request to ECU -
$02 $13 $03</t>
  </si>
  <si>
    <t>1.Observe the requested frame response as follows:
$06 $50 $01 $00 $32 $13 $88
2.Observe the requested frame response as follows:
$06 $50 $03 $00 $32 $13 $88
3.Observe the requested frame response as follows:
$03 $7F $13 $11 $BB $BB $BB $BB</t>
  </si>
  <si>
    <t>1.To Verify NRC-12(Sub function not supported) in default diagnostic session</t>
  </si>
  <si>
    <t>1.Request to ECU Default session
$02 $10 $01 
2.Request to ECU programming session
$02 $10 $04
(Try with valid boundary values of valid sub functions)</t>
  </si>
  <si>
    <t xml:space="preserve">1.Observe the requested frame response as follows:
$06 $50 $01 $00 $32 $13 $88
2.Observe the requested frame response as follows:
$03 $7F $10 $12 $BB $BB $BB $BB
</t>
  </si>
  <si>
    <t>1.To Verify NRC-13(Incorrect message length) in diagnostic session</t>
  </si>
  <si>
    <t>1.Request to ECU Default session
$02 $10 $01 
2.Request to ECU programming session
$04 $10 $03
(Check with differrent lengths)</t>
  </si>
  <si>
    <t xml:space="preserve">1.Observe the requested frame response as follows:
$06 $50 $01 $00 $32 $13 $88
2.Observe the requested frame response as follows:
$03 $7F $10 $13 $BB $BB $BB $BB
</t>
  </si>
  <si>
    <t>1.To verify RDBI(Read data by Identifier) of active diagnostic session-F186 in default session</t>
  </si>
  <si>
    <t xml:space="preserve">1.Request to ECU Default session
$02 $10 $01 
2.Request to ECU as below:
$03 $22 $F1 $86
</t>
  </si>
  <si>
    <t>1.Observe the requested frame response as follows:
$06 $50 $01 $00 $32 $13 $88
2.Observe the requested frame response as follows:
$05 $62 $F1 $86 $01 $01</t>
  </si>
  <si>
    <t>1.To verify RDBI(Read data by Identifier) of active diagnostic session-F186 in  programming session</t>
  </si>
  <si>
    <t xml:space="preserve">1.Request to ECU Default session
$02 $10 $01 
2.Request to ECU programming  session
$02 $10 $02 
2.Request to ECU as below:
$03 $22 $F1 $86
</t>
  </si>
  <si>
    <t>1.Observe the requested frame response as follows:
$06 $50 $01 $00 $32 $13 $88
2.Observe the requested frame response as follows:
$06 $50 $02 $00 $32 $13 $88
2.Observe the requested frame response as follows:
$05 $62 $F1 $86 $02 $01</t>
  </si>
  <si>
    <t>1.To verify RDBI(Read data by Identifier) of active diagnostic session-F186 in  extended session</t>
  </si>
  <si>
    <t xml:space="preserve">1.Request to ECU Default session
$02 $10 $01 
2.Request to ECU programming  session
$02 $10 $03 
2.Request to ECU as below:
$03 $22 $F1 $86
</t>
  </si>
  <si>
    <t>1.Observe the requested frame response as follows:
$06 $50 $01 $00 $32 $13 $88
2.Observe the requested frame response as follows:
$06 $50 $03 $00 $32 $13 $88
3.Observe the requested frame response as follows:
$05 $62 $F1 $86 $03 $01</t>
  </si>
  <si>
    <t>1.To verify NRC-7F(Service not supported) for RDBI(Read data by Identifier-0x22) service in active session</t>
  </si>
  <si>
    <t xml:space="preserve">1.Request to ECU Default session
$02 $10 $01 
2.Request to ECU programming  session
$02 $10 $XX 
3.Request to ECU as below:
$03 $22 $DID high byte $DID Low byte
(Note:XX-Check in diagnostic session which is not implemented and which is not supported)
</t>
  </si>
  <si>
    <t>1.Observe the requested frame response as follows:
$06 $50 $01 $00 $32 $13 $88
2.Observe the requested frame response as follows:
$06 $50 $03 $00 $32 $13 $88
3.Observe the requested frame response as follows:
$03 $7F $22 $7F $BB $BB $BB $BB</t>
  </si>
  <si>
    <t>1.To verify NRC-13(Incorrect message length) for RDBI(Read data by Identifier-0x22) service</t>
  </si>
  <si>
    <t>1.Request to ECU Default session
$02 $10 $01 
2.Request to ECU programming  session
$02 $10 $03 
3.Request to ECU as below:
$05 $22 $DID high byte $DID Low byte
(Note:Check in every diagnostic session)</t>
  </si>
  <si>
    <t>1.Observe the requested frame response as follows:
$06 $50 $01 $00 $32 $13 $88
2.Observe the requested frame response as follows:
$06 $50 $03 $00 $32 $13 $88
3.Observe the requested frame response as follows:
$03 $7F $22 $13 $BB $BB $BB $BB</t>
  </si>
  <si>
    <t>1.To verify NRC-31(Request out of range) for RDBI(Read data by Identifier-0x22) service</t>
  </si>
  <si>
    <t>1.Request to ECU Default session
$02 $10 $01 
2.Request to ECU programming  session
$02 $10 $03 
3..Request to ECU as below:
$05 $22 $DID high byte $DID Low byte
(Note:Request DIDs which are not implemented and check in every diagnostic session)</t>
  </si>
  <si>
    <t>1.Observe the requested frame response as follows:
$06 $50 $01 $00 $32 $13 $88
2.Observe the requested frame response as follows:
$06 $50 $03 $00 $32 $13 $88
3.Observe the requested frame response as follows:
$03 $7F $22 $31 $BB $BB $BB $BB</t>
  </si>
  <si>
    <t>1.To Verify the RDBI of  EMS  Unique code-F121 in default session</t>
  </si>
  <si>
    <t xml:space="preserve">1.Request to ECU Default session
$02 $10 $01 
2.Request to ECU as below:
$03 $22 $F1 $21
</t>
  </si>
  <si>
    <t>1.Observe the requested frame response as follows:
$06 $50 $01 $00 $32 $13 $88
3.Observe the requested frame response as follows:
$06 $62 $F1 $86 $XX $XX $XX
(XX-EMS Unique code-3bytes)</t>
  </si>
  <si>
    <t>1.To Verify the RDBI of  EMS  Unique code-F121 in programming session</t>
  </si>
  <si>
    <t xml:space="preserve">1.Request to ECU Default session
$02 $10 $01 
2.Request to ECU programming  session
$02 $10 $02 
3.Request to ECU as below:
$03 $22 $F1 $21
</t>
  </si>
  <si>
    <t>1.Observe the requested frame response as follows:
$06 $50 $01 $00 $32 $13 $88
2.Observe the requested frame response as follows:
$06 $50 $02 $00 $32 $13 $88
3.Observe the requested frame response as follows:
$06 $62 $F1 $86 $XX $XX $XX
(XX-EMS Unique code-3bytes)</t>
  </si>
  <si>
    <t>1.To Verify the RDBI of  EMS  Unique code-F121 in extended session</t>
  </si>
  <si>
    <t xml:space="preserve">1.Request to ECU Default session
$02 $10 $01 
2.Request to ECU programming  session
$02 $10 $03
2.Request to ECU as below:
$03 $22 $F1 $21
</t>
  </si>
  <si>
    <t>1.Observe the requested frame response as follows:
$06 $50 $01 $00 $32 $13 $88
2.Observe the requested frame response as follows:
$06 $50 $03 $00 $32 $13 $88
3.Observe the requested frame response as follows:
$06 $62 $F1 $86 $XX $XX $XX
(XX-EMS Unique code-3bytes)</t>
  </si>
  <si>
    <t>1.To Verify the RDBI of  Date of manufacturing-0xF122 in default session</t>
  </si>
  <si>
    <t xml:space="preserve">1.Request to ECU Default session
$02 $10 $01 
2.Request to ECU as below:
$03 $22 $F1 $22
</t>
  </si>
  <si>
    <t>1.Observe the requested frame response as follows:
$06 $50 $01 $00 $32 $13 $88
2.Observe the requested frame response as follows:
$06 $62 $F1 $22 $XX $XX $XX
(XX-EMS Unique code-3bytes)</t>
  </si>
  <si>
    <t>1.To Verify the RDBI of  Date of manufacturing-0xF122 in programming session</t>
  </si>
  <si>
    <t xml:space="preserve">1.Request to ECU Default session
$02 $10 $01 
2.Request to ECU programming  session
$02 $10 $02 
3.Request to ECU as below:
$03 $22 $F1 $22
</t>
  </si>
  <si>
    <t>1.Observe the requested frame response as follows:
$06 $50 $01 $00 $32 $13 $88
2.Observe the requested frame response as follows:
$06 $50 $02 $00 $32 $13 $88
3.Observe the requested frame response as follows:
$06 $62 $F1 $22 $XX $XX $XX
(XX-Date,Month,Year-3bytes)</t>
  </si>
  <si>
    <t>1.To Verify the RDBI of  Date of manufacturing -0xF122in extended session</t>
  </si>
  <si>
    <t xml:space="preserve">1.Request to ECU Default session
$02 $10 $01 
2.Request to ECU extended  session
$02 $10 $03 
3.Request to ECU as below:
$03 $22 $F1 $22
</t>
  </si>
  <si>
    <t>1.Observe the requested frame response as follows:
$06 $50 $01 $00 $32 $13 $88
2.Observe the requested frame response as follows:
$06 $50 $03 $00 $32 $13 $88
3.Observe the requested frame response as follows:
$06 $62 $F1 $22 $XX $XX $XX
(XX-Date,Month,Year-3bytes)</t>
  </si>
  <si>
    <t>1.To Verify the RDBI of  Bootloader software version-0xF185 in default session</t>
  </si>
  <si>
    <t xml:space="preserve">1.Request to ECU Default session
$02 $10 $01 
2.Request to ECU as below:
$03 $22 $F1 $85
</t>
  </si>
  <si>
    <t>1.Observe the requested frame response as follows:
$06 $50 $01 $00 $32 $13 $88
2.Observe the requested frame response as follows:
RX:$10 $15 $62 $F1 $85 $XX $XX $XX 
TX:$30 $00 $00 $00 $00 $00 $00 $00
RX:$21 $XX $XX $XX $XX $XX $XX $XX
RX:$22 $XX $XX $XX $XX $XX $XX $XX
RX:$23 $XX $BB $BB $BB $BB $BB $BB
(XX- Bootloader software version -18bytes)</t>
  </si>
  <si>
    <t>1.To Verify the RDBI of   Bootloader software version -0xF185 in programming session</t>
  </si>
  <si>
    <t xml:space="preserve">1.Request to ECU Default session
$02 $10 $01 
2.Request to ECU programming  session
$02 $10 $02 
3.Request to ECU as below:
$03 $22 $F1 $85
</t>
  </si>
  <si>
    <t>1.Observe the requested frame response as follows:
$06 $50 $01 $00 $32 $13 $88
2.Observe the requested frame response as follows:
$06 $50 $02 $00 $32 $13 $88
3.Observe the requested frame response as follows:
RX:$10 $15 $62 $F1 $85 $XX $XX $XX 
TX:$30 $00 $00 $00 $00 $00 $00 $00
RX:$21 $XX $XX $XX $XX $XX $XX $XX
RX:$22 $XX $XX $XX $XX $XX $XX $XX
RX:$23 $XX $BB $BB $BB $BB $BB $BB
(XX- Bootloader software version -18bytes)</t>
  </si>
  <si>
    <t>1.To Verify the RDBI of   Bootloader software version-0xF185  in extended session</t>
  </si>
  <si>
    <t xml:space="preserve">1.Request to ECU Default session
$02 $10 $01 
2.Request to ECU extended  session
$02 $10 $03 
3.Request to ECU as below:
$03 $22 $F1 $85
</t>
  </si>
  <si>
    <t>1.Observe the requested frame response as follows:
$06 $50 $01 $00 $32 $13 $88
2.Observe the requested frame response as follows:
$06 $50 $03 $00 $32 $13 $88
3.Observe the requested frame response as follows:
RX:$10 $15 $62 $F1 $85 $XX $XX $XX 
TX:$30 $00 $00 $00 $00 $00 $00 $00
RX:$21 $XX $XX $XX $XX $XX $XX $XX
RX:$22 $XX $XX $XX $XX $XX $XX $XX
RX:$23 $XX $BB $BB $BB $BB $BB $BB
(XX- Bootloader software version -18bytes)</t>
  </si>
  <si>
    <t>1.To Verify the RDBI of  Test Stamp-0x10FF in default session</t>
  </si>
  <si>
    <t xml:space="preserve">1.Request to ECU Default session
$02 $10 $01 
2.Request to ECU as below:
$03 $22 $10 $FF
</t>
  </si>
  <si>
    <t>1.Observe the requested frame response as follows:
$06 $50 $01 $00 $32 $13 $88
2.Observe the requested frame response as follows:
$06 $62 $10 $FF $XX $XX $XX
(XX-Test Stamp-3bytes)</t>
  </si>
  <si>
    <t>1.To Verify the RDBI of Test Stamp-0x10FF in programming session</t>
  </si>
  <si>
    <t xml:space="preserve">1.Request to ECU Default session
$02 $10 $01 
2.Request to ECU programming  session
$02 $10 $02 
3.Request to ECU as below:
$03 $22 $10 $FF
</t>
  </si>
  <si>
    <t>1.Observe the requested frame response as follows:
$06 $50 $01 $00 $32 $13 $88
2.Observe the requested frame response as follows:
$06 $50 $02 $00 $32 $13 $88
3.Observe the requested frame response as follows:
$06 $62 $10 $FF $XX $XX $XX
(XX-Test Stamp-3bytes)</t>
  </si>
  <si>
    <t>1.To Verify the RDBI of  Test Stamp-0x10FF in extended session</t>
  </si>
  <si>
    <t xml:space="preserve">1.Request to ECU Default session
$02 $10 $01 
2.Request to ECU extended  session
$02 $10 $03 
3.Request to ECU as below:
$03 $22 $10 $FF
</t>
  </si>
  <si>
    <t>1.Observe the requested frame response as follows:
$06 $50 $01 $00 $32 $13 $88
2.Observe the requested frame response as follows:
$06 $50 $03 $00 $32 $13 $88
3.Observe the requested frame response as follows:
$06 $62 $10 $FF $XX $XX $XX
(XX-Test Stamp-3bytes)</t>
  </si>
  <si>
    <t>1.To Verify the RDBI of  GA number/SW BOM ID-0xF188 in default session</t>
  </si>
  <si>
    <t xml:space="preserve">1.Request to ECU Default session
$02 $10 $01 
2.Request to ECU as below:
$03 $22 $F1 $88
</t>
  </si>
  <si>
    <t>1.Observe the requested frame response as follows:
$06 $50 $01 $00 $32 $13 $88
2.Observe the requested frame response as follows:
RX:$10 $0B $62 $F1 $85 $XX $XX $XX 
TX:$30 $00 $00 $00 $00 $00 $00 $00
RX:$21 $XX $XX $XX $XX $XX $BB $BB
(XX-  GA number/SW BOM ID -8bytes)</t>
  </si>
  <si>
    <t>1.To Verify the RDBI of GA number/SW BOM ID-0xF188  in programming session</t>
  </si>
  <si>
    <t xml:space="preserve">1.Request to ECU Default session
$02 $10 $01 
2.Request to ECU programming  session
$02 $10 $02 
3.Request to ECU as below:
$03 $22 $F1 $88
</t>
  </si>
  <si>
    <t>1.Observe the requested frame response as follows:
$06 $50 $01 $00 $32 $13 $88
2.Observe the requested frame response as follows:
$06 $50 $02 $00 $32 $13 $88
3.Observe the requested frame response as follows:
RX:$10 $0B $62 $F1 $85 $XX $XX $XX 
TX:$30 $00 $00 $00 $00 $00 $00 $00
RX:$21 $XX $XX $XX $XX $XX $BB $BB
(XX-  GA number/SW BOM ID -8bytes)</t>
  </si>
  <si>
    <t>1.To Verify the RDBI of   GA number/SW BOM ID-0xF188  in extended session</t>
  </si>
  <si>
    <t xml:space="preserve">1.Request to ECU Default session
$02 $10 $01 
2.Request to ECU extended  session
$02 $10 $03 
3.Request to ECU as below:
$03 $22 $F1 $88
</t>
  </si>
  <si>
    <t>1.Observe the requested frame response as follows:
$06 $50 $01 $00 $32 $13 $88
2.Observe the requested frame response as follows:
$06 $50 $03 $00 $32 $13 $88
3.Observe the requested frame response as follows:
RX:$10 $0B $62 $F1 $85 $XX $XX $XX 
TX:$30 $00 $00 $00 $00 $00 $00 $00
RX:$21 $XX $XX $XX $XX $XX $BB $BB
(XX-  GA number/SW BOM ID -8bytes)</t>
  </si>
  <si>
    <t>1.To Verify the RDBI of  ECU Serial number-0xF18A in default session</t>
  </si>
  <si>
    <t xml:space="preserve">1.Request to ECU Default session
$02 $10 $01 
2.Request to ECU as below:
$03 $22 $F1 $8A
</t>
  </si>
  <si>
    <t>1.Observe the requested frame response as follows:
$06 $50 $01 $00 $32 $13 $88
2.Observe the requested frame response as follows:
RX:$10 $08 $62 $F1 $8A $XX $XX $XX
TX:$30 $00 $00 $00 $00 $00 $00 $00
RX:$21 $XX $XX $BB $BB $BB $BB $BB
(XX-ECU Serial number-5bytes)</t>
  </si>
  <si>
    <t>1.To Verify the RDBI of   ECU Serial number-0xF18A in programming session</t>
  </si>
  <si>
    <t xml:space="preserve">1.Request to ECU Default session
$02 $10 $01 
2.Request to ECU programming  session
$02 $10 $02 
3.Request to ECU as below:
$03 $22 $F1 $8A
</t>
  </si>
  <si>
    <t>1.Observe the requested frame response as follows:
$06 $50 $01 $00 $32 $13 $88
2.Observe the requested frame response as follows:
$06 $50 $02 $00 $32 $13 $88
3.Observe the requested frame response as follows:
RX:$10 $08 $62 $F1 $8A $XX $XX $XX
TX:$30 $00 $00 $00 $00 $00 $00 $00
RX:$21 $XX $XX $BB $BB $BB $BB $BB
(XX-ECU Serial number-5bytes)</t>
  </si>
  <si>
    <t>1.To Verify the RDBI of  ECU Serial number-0xF18Ain extended session</t>
  </si>
  <si>
    <t xml:space="preserve">1.Request to ECU Default session
$02 $10 $01 
2.Request to ECU extended  session
$02 $10 $03 
3.Request to ECU as below:
$03 $22 $F1 $8A
</t>
  </si>
  <si>
    <t>1.Observe the requested frame response as follows:
$06 $50 $01 $00 $32 $13 $88
2.Observe the requested frame response as follows:
$06 $50 $03 $00 $32 $13 $88
3.Observe the requested frame response as follows:
RX:$10 $08 $62 $F1 $8A $XX $XX $XX
TX:$30 $00 $00 $00 $00 $00 $00 $00
RX:$21 $XX $XX $BB $BB $BB $BB $BB
(XX-ECU Serial number-5bytes)</t>
  </si>
  <si>
    <t>1.To Verify the RDBI of  VIN-0xF190 in default session</t>
  </si>
  <si>
    <t xml:space="preserve">1.Request to ECU Default session
$02 $10 $01 
2.Request to ECU as below:
$03 $22 $F1 $90
</t>
  </si>
  <si>
    <t>1.Observe the requested frame response as follows:
$06 $50 $01 $00 $32 $13 $88
2.Observe the requested frame response as follows:
RX:$10 $14 $62 $F1 $90 $XX $XX $XX 
TX:$30 $00 $00 $00 $00 $00 $00 $00
RX:$21 $XX $XX $XX $XX $XX $XX $XX
RX:$22 $XX $XX $XX $XX $XX $XX $XX
(XX- VIN-17bytes)</t>
  </si>
  <si>
    <t>1.To Verify the RDBI of   VIN-0xF190 in programming session</t>
  </si>
  <si>
    <t xml:space="preserve">1.Request to ECU Default session
$02 $10 $01 
2.Request to ECU programming  session
$02 $10 $02 
3.Request to ECU as below:
$03 $22 $F1 $90
</t>
  </si>
  <si>
    <t>1.Observe the requested frame response as follows:
$06 $50 $01 $00 $32 $13 $88
2.Observe the requested frame response as follows:
$06 $50 $02 $00 $32 $13 $88
3.Observe the requested frame response as follows:
RX:$10 $14 $62 $F1 $90 $XX $XX $XX 
TX:$30 $00 $00 $00 $00 $00 $00 $00
RX:$21 $XX $XX $XX $XX $XX $XX $XX
RX:$22 $XX $XX $XX $XX $XX $XX $XX
(XX- VIN-17bytes)</t>
  </si>
  <si>
    <t>1.To Verify the RDBI of   VIN-0xF190 in extended session</t>
  </si>
  <si>
    <t xml:space="preserve">1.Request to ECU Default session
$02 $10 $01 
2.Request to ECU extended  session
$02 $10 $03 
3.Request to ECU as below:
$03 $22 $F1 $90
</t>
  </si>
  <si>
    <t>1.Observe the requested frame response as follows:
$06 $50 $01 $00 $32 $13 $88
2.Observe the requested frame response as follows:
$06 $50 $03 $00 $32 $13 $88
3.Observe the requested frame response as follows:
RX:$10 $14 $62 $F1 $90 $XX $XX $XX 
TX:$30 $00 $00 $00 $00 $00 $00 $00
RX:$21 $XX $XX $XX $XX $XX $XX $XX
RX:$22 $XX $XX $XX $XX $XX $XX $XX
(XX- VIN-17bytes)</t>
  </si>
  <si>
    <t>1.To Verify the RDBI of  SKU-0xF191 in default session</t>
  </si>
  <si>
    <t xml:space="preserve">1.Request to ECU Default session
$02 $10 $01 
2.Request to ECU as below:
$03 $22 $F1 $91
</t>
  </si>
  <si>
    <t>1.Observe the requested frame response as follows:
$06 $50 $01 $00 $32 $13 $88
2.Observe the requested frame response as follows:
RX:$10 $0B $62 $F1 $91 $XX $XX $XX 
TX:$30 $00 $00 $00 $00 $00 $00 $00
RX:$21 $XX $XX $XX $XX $XX $BB $BB
(XX- SKU-8bytes)</t>
  </si>
  <si>
    <t>1.To Verify the RDBI of   SKU-0xF191in programming session</t>
  </si>
  <si>
    <t>1.Observe the requested frame response as follows:
$06 $50 $01 $00 $32 $13 $88
2.Observe the requested frame response as follows:
$06 $50 $02 $00 $32 $13 $88
3.Observe the requested frame response as follows:
RX:$10 $0B $62 $F1 $91 $XX $XX $XX 
TX:$30 $00 $00 $00 $00 $00 $00 $00
RX:$21 $XX $XX $XX $XX $XX $BB $BB
(XX- SKU-8bytes)</t>
  </si>
  <si>
    <t>1.To Verify the RDBI of  SKU-0xF191 in extended session</t>
  </si>
  <si>
    <t>1.Observe the requested frame response as follows:
$06 $50 $01 $00 $32 $13 $88
2.Observe the requested frame response as follows:
$06 $50 $03 $00 $32 $13 $88
3.Observe the requested frame response as follows:
RX:$10 $0B $62 $F1 $91 $XX $XX $XX 
TX:$30 $00 $00 $00 $00 $00 $00 $00
RX:$21 $XX $XX $XX $XX $XX $BB $BB
(XX- SKU-8bytes)</t>
  </si>
  <si>
    <t>1.To Verify the RDBI of  Hardware version-0xF193 in default session</t>
  </si>
  <si>
    <t xml:space="preserve">1.Request to ECU Default session
$02 $10 $01 
2.Request to ECU as below:
$03 $22 $F1 $93
</t>
  </si>
  <si>
    <t>1.Observe the requested frame response as follows:
$06 $50 $01 $00 $32 $13 $88
2.Observe the requested frame response as follows:
RX:$10 $0F $62 $F1 $93 $XX $XX $XX 
TX:$30 $00 $00 $00 $00 $00 $00 $00
RX:$21 $XX $XX $XX $XX $XX $XX $XX
RX:$22 $XX $XX $BB $BB $BB $BB $BB
(XX- Harware version-12bytes)</t>
  </si>
  <si>
    <t>1.To Verify the RDBI of   Hardware version-0xF193 in programming session</t>
  </si>
  <si>
    <t xml:space="preserve">1.Request to ECU Default session
$02 $10 $01 
2.Request to ECU programming  session
$02 $10 $02 
3.Request to ECU as below:
$03 $22 $F1 $93
</t>
  </si>
  <si>
    <t>1.Observe the requested frame response as follows:
$06 $50 $01 $00 $32 $13 $88
2.Observe the requested frame response as follows:
$06 $50 $02 $00 $32 $13 $88
3.Observe the requested frame response as follows:
RX:$10 $0F $62 $F1 $93 $XX $XX $XX 
TX:$30 $00 $00 $00 $00 $00 $00 $00
RX:$21 $XX $XX $XX $XX $XX $XX $XX
RX:$22 $XX $XX $BB $BB $BB $BB $BB
(XX- Harware version-12bytes)</t>
  </si>
  <si>
    <t>1.To Verify the RDBI of   Hardware version-0xF193n extended session</t>
  </si>
  <si>
    <t xml:space="preserve">1.Request to ECU Default session
$02 $10 $01 
2.Request to ECU extended  session
$02 $10 $03 
3.Request to ECU as below:
$03 $22 $F1 $93
</t>
  </si>
  <si>
    <t>1.Observe the requested frame response as follows:
$06 $50 $01 $00 $32 $13 $88
2.Observe the requested frame response as follows:
$06 $50 $03 $00 $32 $13 $88
3.Observe the requested frame response as follows:
RX:$10 $0F $62 $F1 $93 $XX $XX $XX 
TX:$30 $00 $00 $00 $00 $00 $00 $00
RX:$21 $XX $XX $XX $XX $XX $XX $XX
RX:$22 $XX $XX $BB $BB $BB $BB $BB
(XX- Harware version-12bytes)</t>
  </si>
  <si>
    <t>1.To Verify the RDBI of  Partition verify-0xF11B in default session</t>
  </si>
  <si>
    <t xml:space="preserve">1.Request to ECU Default session
$02 $10 $01 
2.Request to ECU as below:
$03 $22 $F1 $1B
</t>
  </si>
  <si>
    <t>1.Observe the requested frame response as follows:
$06 $50 $01 $00 $32 $13 $88
2.Observe the requested frame response as follows:
$04 $62 $10 $FF $XX 
(XX-Partition verify1bytes)</t>
  </si>
  <si>
    <t>1.To Verify the RDBI of partition verify 0xF11B  in programming session</t>
  </si>
  <si>
    <t xml:space="preserve">1.Request to ECU Default session
$02 $10 $01 
2.Request to ECU programming  session
$02 $10 $02 
3.Request to ECU as below:
$03 $22 $F1 $1B
</t>
  </si>
  <si>
    <t>1.Observe the requested frame response as follows:
$06 $50 $01 $00 $32 $13 $88
2.Observe the requested frame response as follows:
$06 $50 $02 $00 $32 $13 $88
3.Observe the requested frame response as follows:
$04 $62 $10 $FF $XX 
(XX-Partition verify1bytes)</t>
  </si>
  <si>
    <t>1.To Verify the RDBI of  partition verify 0xF11B in extended session</t>
  </si>
  <si>
    <t xml:space="preserve">1.Request to ECU Default session
$02 $10 $01 
2.Request to ECU extended  session
$02 $10 $03 
3.Request to ECU as below:
$03 $22 $F1 $1B
</t>
  </si>
  <si>
    <t>1.Observe the requested frame response as follows:
$06 $50 $01 $00 $32 $13 $88
2.Observe the requested frame response as follows:
$06 $50 $03 $00 $32 $13 $88
3.Observe the requested frame response as follows:
$04 $62 $10 $FF $XX 
(XX-Partition verify1bytes)</t>
  </si>
  <si>
    <t>1.To Verify the RDBI of  Key verify-0xF11C in default session</t>
  </si>
  <si>
    <t xml:space="preserve">1.Request to ECU Default session
$02 $10 $01 
2.Request to ECU as below:
$03 $22 $F1 $1C
</t>
  </si>
  <si>
    <t>1.Observe the requested frame response as follows:
$06 $50 $01 $00 $32 $13 $88
2.Observe the requested frame response as follows:
$04 $62 $F1 $1C $XX 
(XX-Key verify1bytes)</t>
  </si>
  <si>
    <t>1.To Verify the RDBI of Key verify 0xF11C  in programming session</t>
  </si>
  <si>
    <t xml:space="preserve">1.Request to ECU Default session
$02 $10 $01 
2.Request to ECU programming  session
$02 $10 $02 
3.Request to ECU as below:
$03 $22 $F1 $1C
</t>
  </si>
  <si>
    <t>1.Observe the requested frame response as follows:
$06 $50 $01 $00 $32 $13 $88
2.Observe the requested frame response as follows:
$06 $50 $02 $00 $32 $13 $88
3.Observe the requested frame response as follows:
$04 $62 $F1 $1C $XX 
(XX-Key verify1bytes)</t>
  </si>
  <si>
    <t>1.To Verify the RDBI of  Key verify 0xF11C in extended session</t>
  </si>
  <si>
    <t xml:space="preserve">1.Request to ECU Default session
$02 $10 $01 
2.Request to ECU extended  session
$02 $10 $03 
3.Request to ECU as below:
$03 $22 $F1 $1C
</t>
  </si>
  <si>
    <t>1.Observe the requested frame response as follows:
$06 $50 $01 $00 $32 $13 $88
2.Observe the requested frame response as follows:
$06 $50 $03 $00 $32 $13 $88
3.Observe the requested frame response as follows:
$04 $62 $F1 $1C $XX 
(XX-Key verify1bytes)</t>
  </si>
  <si>
    <t>1.To Verify the RDBI of  UDS Spec Version-0x1001 in default session</t>
  </si>
  <si>
    <t xml:space="preserve">1.Request to ECU Default session
$02 $10 $01 
2.Request to ECU as below:
$03 $22 $10 $01
</t>
  </si>
  <si>
    <t>1.Observe the requested frame response as follows:
$06 $50 $01 $00 $32 $13 $88
2.Observe the requested frame response as follows:
$05 $62 $F1 $1C $XX  $XX 
(XX-UDS Spec version-1bytes)</t>
  </si>
  <si>
    <t>1.To Verify the RDBI of UDS Spec Version-0x1001   in programming session</t>
  </si>
  <si>
    <t xml:space="preserve">1.Request to ECU Default session
$02 $10 $01 
2.Request to ECU programming  session
$02 $10 $02 
3.Request to ECU as below:
$03 $22 $10 $01
</t>
  </si>
  <si>
    <t>1.Observe the requested frame response as follows:
$06 $50 $01 $00 $32 $13 $88
2.Observe the requested frame response as follows:
$06 $50 $02 $00 $32 $13 $88
3.Observe the requested frame response as follows:
$05 $62 $F1 $1C $XX  $XX 
(XX-UDS Spec version-1bytes)</t>
  </si>
  <si>
    <t>1.To Verify the RDBI of UDS Spec Version-0x1001  in extended session</t>
  </si>
  <si>
    <t xml:space="preserve">1.Request to ECU Default session
$02 $10 $01 
2.Request to ECU extended  session
$02 $10 $03 
3.Request to ECU as below:
$03 $22 $10 $01
</t>
  </si>
  <si>
    <t>1.Observe the requested frame response as follows:
$06 $50 $01 $00 $32 $13 $88
2.Observe the requested frame response as follows:
$06 $50 $03 $00 $32 $13 $88
3.Observe the requested frame response as follows:
$05 $62 $F1 $1C $XX  $XX 
(XX-UDS Spec version-1bytes)</t>
  </si>
  <si>
    <t>1.To Verify the Write Data By Identifier(WDBI)-0x2E of  Test Stamp-0x10FF in default session</t>
  </si>
  <si>
    <t>1.Request to ECU Default session
$02 $10 $01 
2.Request to ECU as below:
$06 $2E $10 $FF $XX $XX $XX
(XX-Write 3 bytes of given data)</t>
  </si>
  <si>
    <t xml:space="preserve">1.Observe the requested frame response as follows:
$06 $50 $01 $00 $32 $13 $88
2.Observe the requested frame response as follows:
$03 $6E $10 $FF
</t>
  </si>
  <si>
    <t>1.To Verify the Write Data By Identifier(WDBI)-0x2E of  Test Stamp-0x10FF in programming session</t>
  </si>
  <si>
    <t>1.Request to ECU Default session
$02 $10 $01 
2.Request to ECU programming  session
$02 $10 $02 
3.Request to ECU as below:
$06 $2E $10 $FF $XX $XX $XX
(XX-Write 3 bytes of given data)</t>
  </si>
  <si>
    <t xml:space="preserve">1.Observe the requested frame response as follows:
$06 $50 $01 $00 $32 $13 $88
2.Observe the requested frame response as follows:
$06 $50 $02 $00 $32 $13 $88
3.Observe the requested frame response as follows:
$03 $6E $10 $FF
</t>
  </si>
  <si>
    <t>1.To Verify the RDBI ofWrite Data By Identifier(WDBI)-0x2E of  Test Stamp-0x10FF in extended session</t>
  </si>
  <si>
    <t>1.Request to ECU Default session
$02 $10 $01 
2.Request to ECU extended  session
$02 $10 $03 
3.Request to ECU as below:
$06 $2E $10 $FF $XX $XX $XX
(XX-Write 3 bytes of given data)</t>
  </si>
  <si>
    <t xml:space="preserve">1.Observe the requested frame response as follows:
$06 $50 $01 $00 $32 $13 $88
2.Observe the requested frame response as follows:
$06 $50 $03 $00 $32 $13 $88
3.Observe the requested frame response as follows:
$03 $6E $10 $FF
</t>
  </si>
  <si>
    <t>1.To verify diagnostic session control in extended session using functional address as 0x7DF</t>
  </si>
  <si>
    <t xml:space="preserve">1.Request to ECU extended  session
$02 $10 $03 
</t>
  </si>
  <si>
    <t>1.Observe the requested frame response as follows:
$06 $50 $03 $00 $32 $13 $88</t>
  </si>
  <si>
    <t>1.To verify the Control DTC(Disable the DTCs) Using functional address as 0x7DF</t>
  </si>
  <si>
    <t xml:space="preserve">1.Request to ECU extended  session
$02  $85 $82
</t>
  </si>
  <si>
    <t>1.All DTC messages should be halted.</t>
  </si>
  <si>
    <t>1.To Disable the Application messages using Communication control service</t>
  </si>
  <si>
    <t xml:space="preserve">1.Request to ECU Communication control
$02  $81 $03
</t>
  </si>
  <si>
    <t>1.All application messages should be halted for 5 seconds.</t>
  </si>
  <si>
    <t>1.To verify the tester present service(0x3E) in extended session by suppressing the positive response.</t>
  </si>
  <si>
    <t xml:space="preserve">1.Request to ECU as below:
$02  $3E $80
</t>
  </si>
  <si>
    <t>1.Observe the requested frame response as follows:
$06 $50 $03 $00 $32 $13 $88
2.No response for tester present.</t>
  </si>
  <si>
    <t>1.To verify the programming Flashing sequence in programming session.</t>
  </si>
  <si>
    <t xml:space="preserve">1.Request to ECU programming session
$02 $10 $02 
</t>
  </si>
  <si>
    <t>1.Observe the requested frame response as follows:
$06 $50 $01 $00 $32 $13 $88</t>
  </si>
  <si>
    <t>1.To verify the security aceess(0x27) of the ECU in programming session.</t>
  </si>
  <si>
    <t xml:space="preserve">1.Request  ECU for seed request using Security accesss(0x27)  request
$02 $27 $01 
</t>
  </si>
  <si>
    <t xml:space="preserve">1.Observe the requested frame response as follows:
RX:$10 $0A $67 $01 $XX $XX $XX $XX 
TX:$30 $00 $00 $00 $00 $00 $00 $00
RX:$21 $XX $XX $XX $XX $BB $BB $BB
(XX-8 bytes of seed)
TX:$10 $0A $27 $02 $XX $XX $XX $XX 
RX:$30 $00 $00 $00 $00 $00 $00 $00
TX:$21 $XX $XX $XX $XX $BB $BB $BB
(XX-8 bytes of key)
RX:$02 $67 $02(Security access successful)
</t>
  </si>
  <si>
    <t>1.To Verify the routine control service for erase memory in the programming session using  $FF 00 as RID with valid address-4bytes and  length format identifier-4bytes respectively.</t>
  </si>
  <si>
    <t>1.Request  ECU for Erase memory using  routine control(0x31)
TX:$10 $0D $31 $01 $FF $00 $44 $XX
RX:$30 $00 $00 $00 $00 $00 $00 $00
TX:$21 $XX $XX $XX $YY $YY $YY  $YY
(XX-Memory address,YY-Data length)</t>
  </si>
  <si>
    <t xml:space="preserve">1.Observe the requested frame response as follows:
RX:$05 $ $71 $01 $FF $00 $01 $BB $BB </t>
  </si>
  <si>
    <t>1.To verify the request download(0x34) in programming session.</t>
  </si>
  <si>
    <t>1.Request  ECU for request download service (0x34)
TX:$10 $0B $34 $00 $44 $XX $XX $XX
RX:$30 $00 $00 $00 $00 $00 $00 $00
TX:$21 $XX  $YY $YY $YY  $YY $00 $00
(XX-Memory address,YY-Data length)</t>
  </si>
  <si>
    <t>1.Observe the requested frame response as follows:
RX:$04 $ $74 $20 $XX $XX $BB $BB $BB 
(XX:Block size of 2 bytes)</t>
  </si>
  <si>
    <t>1.To verify the data transfer(0x36) in programming session.</t>
  </si>
  <si>
    <t>1.Request  ECU for Data transfer (0x36)
TX:$1Z $ZZ $36 $YY $44 $XX $XX $XX
RX:$30 $00 $00 $00 $00 $00 $00 $00
TX:$21 $XX  $YY $YY $YY  $YY $00 $00
(ZZZ-DLC,YY-Block sequence counter,XXXX...-Hex data that need to be transferred)</t>
  </si>
  <si>
    <t>1.Observe the requested frame response as follows:
RX:$02 $ $76 $XX $BB $BB $BB $BB $BB 
(XX-Block sequence counter)</t>
  </si>
  <si>
    <t>1.To verify the transer data exit in programming session.</t>
  </si>
  <si>
    <t xml:space="preserve">1.Request  ECU for Data transfer exit (0x37)
TX:$01 $37 
</t>
  </si>
  <si>
    <t xml:space="preserve">1.Observe the requested frame response as follows:
RX:$01 $ $77 $BB $BB $BB $BB $BB $BB </t>
  </si>
  <si>
    <t>1.To verify the write data by identifier for application checksum.</t>
  </si>
  <si>
    <t xml:space="preserve">1.Request  ECU to write application checksum-$F1 $A1
TX:$05 $2E $F1 $A1 $XX $XX
(XX-Checksum value of the hex file data transferred)
</t>
  </si>
  <si>
    <t xml:space="preserve">1.Observe the requested frame response as follows:
RX:$03 $ $6E $F1 $A1 </t>
  </si>
  <si>
    <t>1.To verify the checksum verification from the server using routine control.</t>
  </si>
  <si>
    <t xml:space="preserve">1.Request  ECU to Routine control for check memory using $0202 as RID
TX:$04 $31 $01 $02 $02 
</t>
  </si>
  <si>
    <t>1.Observe the requested frame response as follows:
RX:$10 $ $09 $71 $01 $02 $02 $01 $00
TX:$30 $00 $00$00 $00 $00 $00 $00 $00
RX:$21 $00 $XX $XX $BB $BB $BB $BB
(XX:Checksum of the Hex file)</t>
  </si>
  <si>
    <t>1.To verify the ECU Reset in programming sesion</t>
  </si>
  <si>
    <t xml:space="preserve">1.Request for  ECU Reset 
TX:$02 $11 $01 
</t>
  </si>
  <si>
    <t>1.To verify the default session after the hex file is flashed.</t>
  </si>
  <si>
    <t xml:space="preserve">1.Request for  default session
TX:$02 $10 $01 
</t>
  </si>
  <si>
    <t>1.Observe the requested frame response as follows:
RX:$06 $50 $01  $00 $32 $13 $88</t>
  </si>
  <si>
    <t>1.To verify the RDBI of application software version-$F1 81</t>
  </si>
  <si>
    <t xml:space="preserve">1.Request to ECU Default session
$02 $10 $01 
2.Request to ECU as below:
$03 $22 $F1 $81
</t>
  </si>
  <si>
    <t>1.Observe the requested frame response as follows:
$06 $50 $01 $00 $32 $13 $88
2.Observe the requested frame response as follows:
RX:$10 $15 $62 $F1 $81 $XX $XX $XX 
TX:$30 $00 $00 $00 $00 $00 $00 $00
RX:$21 $XX $XX $XX $XX $XX $XX $XX
RX:$22 $XX $XX $XX $XX $XX $XX $XX
RX:$23 $XX $BB $BB $BB $BB $BB $BB
(XX- Application software version -18bytes)</t>
  </si>
  <si>
    <t>1.To Verify the RDBI of  Hardware version-0xF193 in default session after application is flashed</t>
  </si>
  <si>
    <t>1.Observe the requested frame response as follows:
$06 $50 $01 $00 $32 $13 $88
2.Observe the requested frame response as follows:
RX:$10 $0F $62 $F1 $93 $XX $XX $XX 
TX:$30 $00 $00 $00 $00 $00 $00 $00
RX:$21 $XX $XX $XX $XX $XX $XX $XX
RX:$22 $XX $XX $BB $BB $BB $BB $BB
(XX- Harware version-12bytes)</t>
  </si>
  <si>
    <t>1.To verify the Clear DTC in deafult session</t>
  </si>
  <si>
    <t xml:space="preserve">1.Request to ECU Default session
$02 $10 $01 
2.Request to ECU as below:
$04 $14 $FF $FF $FF
</t>
  </si>
  <si>
    <t>1.Observe the requested frame response as follows:
RX:$06 $50 $01  $00 $32 $13 $88
2.Observe the requested frame response as follows:
RX:$01 $54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</si>
</sst>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color theme="1"/>
      <name val="Aptos Narrow"/>
      <family val="2"/>
      <scheme val="minor"/>
    </font>
    <font>
      <b/>
      <sz val="20"/>
      <color theme="1" tint="4.9989318521683403E-2"/>
      <name val="Times New Roman"/>
      <family val="1"/>
    </font>
    <font>
      <u/>
      <sz val="11"/>
      <color theme="10"/>
      <name val="Aptos Narrow"/>
      <family val="2"/>
      <scheme val="minor"/>
    </font>
    <font>
      <b/>
      <sz val="12"/>
      <color rgb="FF000000"/>
      <name val="Aptos Narrow"/>
      <family val="2"/>
      <scheme val="minor"/>
    </font>
    <font>
      <b/>
      <sz val="11"/>
      <color rgb="FF000000"/>
      <name val="Calibri"/>
      <family val="2"/>
    </font>
    <font>
      <sz val="11"/>
      <color rgb="FF000000"/>
      <name val="Calibri"/>
      <family val="2"/>
    </font>
    <font>
      <b/>
      <sz val="11"/>
      <color theme="0"/>
      <name val="Aptos Narrow"/>
      <family val="2"/>
      <scheme val="minor"/>
    </font>
    <font>
      <b/>
      <sz val="12"/>
      <color rgb="FF000000"/>
      <name val="Calibri"/>
      <family val="2"/>
    </font>
    <font>
      <sz val="12"/>
      <color theme="1"/>
      <name val="Calibri"/>
      <family val="2"/>
    </font>
    <font>
      <sz val="12"/>
      <color rgb="FF000000"/>
      <name val="Calibri"/>
      <family val="2"/>
    </font>
    <font>
      <sz val="12"/>
      <color rgb="FF222222"/>
      <name val="Calibri"/>
      <family val="2"/>
    </font>
    <font>
      <b/>
      <sz val="12"/>
      <color theme="1"/>
      <name val="Calibri"/>
      <family val="2"/>
    </font>
    <font>
      <b/>
      <sz val="12"/>
      <color theme="1" tint="4.9989318521683403E-2"/>
      <name val="Calibri"/>
      <family val="2"/>
    </font>
    <font>
      <b/>
      <sz val="12"/>
      <color rgb="FFFF0000"/>
      <name val="Calibri"/>
      <family val="2"/>
    </font>
    <font>
      <b/>
      <sz val="11"/>
      <color theme="1"/>
      <name val="Aptos Narrow"/>
      <family val="2"/>
      <scheme val="minor"/>
    </font>
    <font>
      <sz val="12"/>
      <color rgb="FF000000"/>
      <name val="Times New Roman"/>
      <family val="1"/>
    </font>
    <font>
      <b/>
      <sz val="12"/>
      <color theme="1"/>
      <name val="Calibri"/>
    </font>
    <font>
      <b/>
      <sz val="12"/>
      <color theme="9" tint="-0.499984740745262"/>
      <name val="Calibri"/>
    </font>
    <font>
      <b/>
      <sz val="12"/>
      <color rgb="FFC41D1D"/>
      <name val="Calibri"/>
    </font>
    <font>
      <b/>
      <sz val="12"/>
      <color rgb="FFF2F207"/>
      <name val="Calibri"/>
    </font>
    <font>
      <b/>
      <sz val="12"/>
      <color theme="9" tint="-0.249977111117893"/>
      <name val="Calibri"/>
      <family val="2"/>
    </font>
    <font>
      <sz val="12"/>
      <color rgb="FF000000"/>
      <name val="Calibri"/>
    </font>
    <font>
      <b/>
      <sz val="12"/>
      <color rgb="FF000000"/>
      <name val="Calibri"/>
    </font>
    <font>
      <b/>
      <sz val="11"/>
      <color rgb="FF215C98"/>
      <name val="Aptos Narrow"/>
      <scheme val="minor"/>
    </font>
    <font>
      <b/>
      <sz val="11"/>
      <color theme="3" tint="0.249977111117893"/>
      <name val="Aptos Narrow"/>
      <family val="2"/>
      <scheme val="minor"/>
    </font>
    <font>
      <sz val="11"/>
      <color theme="1" tint="4.9989318521683403E-2"/>
      <name val="Aptos Narrow"/>
      <family val="2"/>
      <scheme val="minor"/>
    </font>
    <font>
      <sz val="12"/>
      <color theme="1"/>
      <name val="Calibri"/>
    </font>
    <font>
      <sz val="12"/>
      <color rgb="FF000000"/>
      <name val="Calibri"/>
      <charset val="1"/>
    </font>
  </fonts>
  <fills count="12">
    <fill>
      <patternFill patternType="none"/>
    </fill>
    <fill>
      <patternFill patternType="gray125"/>
    </fill>
    <fill>
      <patternFill patternType="solid">
        <fgColor rgb="FFFFFF00"/>
        <bgColor indexed="64"/>
      </patternFill>
    </fill>
    <fill>
      <patternFill patternType="solid">
        <fgColor theme="2" tint="-0.249977111117893"/>
        <bgColor indexed="64"/>
      </patternFill>
    </fill>
    <fill>
      <patternFill patternType="solid">
        <fgColor theme="2"/>
        <bgColor indexed="64"/>
      </patternFill>
    </fill>
    <fill>
      <patternFill patternType="solid">
        <fgColor theme="2" tint="-9.9978637043366805E-2"/>
        <bgColor indexed="64"/>
      </patternFill>
    </fill>
    <fill>
      <patternFill patternType="solid">
        <fgColor rgb="FFFFC000"/>
        <bgColor indexed="64"/>
      </patternFill>
    </fill>
    <fill>
      <patternFill patternType="solid">
        <fgColor rgb="FFB4C6E7"/>
        <bgColor rgb="FF000000"/>
      </patternFill>
    </fill>
    <fill>
      <patternFill patternType="solid">
        <fgColor theme="4"/>
        <bgColor indexed="64"/>
      </patternFill>
    </fill>
    <fill>
      <patternFill patternType="solid">
        <fgColor theme="5"/>
        <bgColor indexed="64"/>
      </patternFill>
    </fill>
    <fill>
      <patternFill patternType="solid">
        <fgColor rgb="FFFFFFFF"/>
        <bgColor indexed="64"/>
      </patternFill>
    </fill>
    <fill>
      <patternFill patternType="solid">
        <fgColor theme="0" tint="-0.249977111117893"/>
        <bgColor indexed="64"/>
      </patternFill>
    </fill>
  </fills>
  <borders count="53">
    <border>
      <left/>
      <right/>
      <top/>
      <bottom/>
      <diagonal/>
    </border>
    <border>
      <left style="thin">
        <color rgb="FF000000"/>
      </left>
      <right style="thin">
        <color rgb="FF000000"/>
      </right>
      <top style="thin">
        <color rgb="FF000000"/>
      </top>
      <bottom style="thin">
        <color rgb="FF000000"/>
      </bottom>
      <diagonal/>
    </border>
    <border>
      <left/>
      <right/>
      <top style="medium">
        <color rgb="FF000000"/>
      </top>
      <bottom/>
      <diagonal/>
    </border>
    <border>
      <left/>
      <right style="medium">
        <color rgb="FF000000"/>
      </right>
      <top style="medium">
        <color rgb="FF000000"/>
      </top>
      <bottom/>
      <diagonal/>
    </border>
    <border>
      <left/>
      <right style="medium">
        <color rgb="FF000000"/>
      </right>
      <top/>
      <bottom/>
      <diagonal/>
    </border>
    <border>
      <left/>
      <right/>
      <top/>
      <bottom style="medium">
        <color rgb="FF000000"/>
      </bottom>
      <diagonal/>
    </border>
    <border>
      <left/>
      <right style="medium">
        <color rgb="FF000000"/>
      </right>
      <top/>
      <bottom style="medium">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style="medium">
        <color rgb="FF000000"/>
      </right>
      <top style="thin">
        <color rgb="FF000000"/>
      </top>
      <bottom style="medium">
        <color rgb="FF000000"/>
      </bottom>
      <diagonal/>
    </border>
    <border>
      <left/>
      <right style="thin">
        <color rgb="FF000000"/>
      </right>
      <top/>
      <bottom/>
      <diagonal/>
    </border>
    <border>
      <left style="thin">
        <color rgb="FF000000"/>
      </left>
      <right style="thin">
        <color rgb="FF000000"/>
      </right>
      <top style="thin">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medium">
        <color rgb="FF000000"/>
      </left>
      <right/>
      <top style="medium">
        <color rgb="FF000000"/>
      </top>
      <bottom style="medium">
        <color indexed="64"/>
      </bottom>
      <diagonal/>
    </border>
    <border>
      <left style="thin">
        <color rgb="FF000000"/>
      </left>
      <right style="thin">
        <color rgb="FF000000"/>
      </right>
      <top/>
      <bottom/>
      <diagonal/>
    </border>
    <border>
      <left/>
      <right/>
      <top style="thin">
        <color rgb="FF000000"/>
      </top>
      <bottom/>
      <diagonal/>
    </border>
    <border>
      <left style="medium">
        <color rgb="FF000000"/>
      </left>
      <right/>
      <top/>
      <bottom style="thin">
        <color indexed="64"/>
      </bottom>
      <diagonal/>
    </border>
    <border>
      <left style="medium">
        <color rgb="FF000000"/>
      </left>
      <right/>
      <top style="thin">
        <color indexed="64"/>
      </top>
      <bottom style="thin">
        <color indexed="64"/>
      </bottom>
      <diagonal/>
    </border>
    <border>
      <left style="medium">
        <color rgb="FF000000"/>
      </left>
      <right/>
      <top style="thin">
        <color indexed="64"/>
      </top>
      <bottom/>
      <diagonal/>
    </border>
    <border>
      <left style="thin">
        <color rgb="FF000000"/>
      </left>
      <right/>
      <top style="thin">
        <color rgb="FF000000"/>
      </top>
      <bottom/>
      <diagonal/>
    </border>
    <border>
      <left style="thin">
        <color rgb="FF000000"/>
      </left>
      <right/>
      <top/>
      <bottom style="thin">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bottom style="thin">
        <color rgb="FF000000"/>
      </bottom>
      <diagonal/>
    </border>
    <border>
      <left style="medium">
        <color rgb="FF000000"/>
      </left>
      <right/>
      <top style="thin">
        <color rgb="FF000000"/>
      </top>
      <bottom/>
      <diagonal/>
    </border>
    <border>
      <left/>
      <right style="thin">
        <color rgb="FF000000"/>
      </right>
      <top style="thin">
        <color rgb="FF000000"/>
      </top>
      <bottom style="medium">
        <color rgb="FF000000"/>
      </bottom>
      <diagonal/>
    </border>
  </borders>
  <cellStyleXfs count="2">
    <xf numFmtId="0" fontId="0" fillId="0" borderId="0"/>
    <xf numFmtId="0" fontId="2" fillId="0" borderId="0" applyNumberFormat="0" applyFill="0" applyBorder="0" applyAlignment="0" applyProtection="0"/>
  </cellStyleXfs>
  <cellXfs count="226">
    <xf numFmtId="0" fontId="0" fillId="0" borderId="0" xfId="0"/>
    <xf numFmtId="0" fontId="0" fillId="0" borderId="1" xfId="0" applyBorder="1"/>
    <xf numFmtId="0" fontId="0" fillId="0" borderId="0" xfId="0" applyAlignment="1">
      <alignment vertical="center"/>
    </xf>
    <xf numFmtId="0" fontId="2" fillId="0" borderId="0" xfId="1"/>
    <xf numFmtId="0" fontId="0" fillId="0" borderId="5" xfId="0" applyBorder="1" applyAlignment="1">
      <alignment horizontal="center"/>
    </xf>
    <xf numFmtId="0" fontId="4" fillId="7" borderId="10" xfId="0" applyFont="1" applyFill="1" applyBorder="1" applyAlignment="1">
      <alignment vertical="center"/>
    </xf>
    <xf numFmtId="0" fontId="4" fillId="7" borderId="25" xfId="0" applyFont="1" applyFill="1" applyBorder="1" applyAlignment="1">
      <alignment vertical="center"/>
    </xf>
    <xf numFmtId="0" fontId="5" fillId="0" borderId="26" xfId="0" applyFont="1" applyBorder="1" applyAlignment="1">
      <alignment horizontal="center" vertical="center"/>
    </xf>
    <xf numFmtId="14" fontId="5" fillId="0" borderId="27" xfId="0" applyNumberFormat="1" applyFont="1" applyBorder="1" applyAlignment="1">
      <alignment horizontal="center" vertical="center"/>
    </xf>
    <xf numFmtId="0" fontId="5" fillId="0" borderId="27" xfId="0" applyFont="1" applyBorder="1" applyAlignment="1">
      <alignment horizontal="center" vertical="center"/>
    </xf>
    <xf numFmtId="0" fontId="5" fillId="0" borderId="27" xfId="0" applyFont="1" applyBorder="1" applyAlignment="1">
      <alignment vertical="center"/>
    </xf>
    <xf numFmtId="0" fontId="5" fillId="0" borderId="27" xfId="0" applyFont="1" applyBorder="1" applyAlignment="1">
      <alignment vertical="center" wrapText="1"/>
    </xf>
    <xf numFmtId="0" fontId="10" fillId="0" borderId="1" xfId="0" applyFont="1" applyBorder="1" applyAlignment="1">
      <alignment horizontal="left" vertical="top" wrapText="1"/>
    </xf>
    <xf numFmtId="0" fontId="8" fillId="0" borderId="1" xfId="0" applyFont="1" applyBorder="1" applyAlignment="1">
      <alignment horizontal="left" vertical="top" wrapText="1"/>
    </xf>
    <xf numFmtId="0" fontId="8" fillId="0" borderId="1" xfId="0" applyFont="1" applyBorder="1" applyAlignment="1">
      <alignment horizontal="left" vertical="top"/>
    </xf>
    <xf numFmtId="0" fontId="8" fillId="0" borderId="0" xfId="0" applyFont="1" applyAlignment="1">
      <alignment horizontal="left" vertical="top"/>
    </xf>
    <xf numFmtId="0" fontId="8" fillId="0" borderId="0" xfId="0" applyFont="1"/>
    <xf numFmtId="0" fontId="10" fillId="0" borderId="1" xfId="0" applyFont="1" applyBorder="1" applyAlignment="1">
      <alignment horizontal="left" vertical="top" wrapText="1" readingOrder="1"/>
    </xf>
    <xf numFmtId="0" fontId="8" fillId="0" borderId="1" xfId="0" applyFont="1" applyBorder="1"/>
    <xf numFmtId="0" fontId="9" fillId="0" borderId="1" xfId="0" applyFont="1" applyBorder="1" applyAlignment="1">
      <alignment horizontal="left" vertical="top" wrapText="1"/>
    </xf>
    <xf numFmtId="0" fontId="7" fillId="6" borderId="1" xfId="0" applyFont="1" applyFill="1" applyBorder="1" applyAlignment="1">
      <alignment horizontal="left" vertical="top" wrapText="1"/>
    </xf>
    <xf numFmtId="0" fontId="10" fillId="0" borderId="9" xfId="0" applyFont="1" applyBorder="1" applyAlignment="1">
      <alignment horizontal="left" vertical="top" wrapText="1" readingOrder="1"/>
    </xf>
    <xf numFmtId="0" fontId="10" fillId="0" borderId="29" xfId="0" applyFont="1" applyBorder="1" applyAlignment="1">
      <alignment horizontal="left" vertical="top" wrapText="1" readingOrder="1"/>
    </xf>
    <xf numFmtId="0" fontId="11" fillId="3" borderId="1" xfId="0" applyFont="1" applyFill="1" applyBorder="1" applyAlignment="1">
      <alignment horizontal="left" vertical="top"/>
    </xf>
    <xf numFmtId="0" fontId="13" fillId="3" borderId="7" xfId="0" applyFont="1" applyFill="1" applyBorder="1" applyAlignment="1">
      <alignment horizontal="center" vertical="center"/>
    </xf>
    <xf numFmtId="0" fontId="13" fillId="3" borderId="7" xfId="0" applyFont="1" applyFill="1" applyBorder="1" applyAlignment="1">
      <alignment horizontal="left" vertical="top"/>
    </xf>
    <xf numFmtId="0" fontId="13" fillId="3" borderId="1" xfId="0" applyFont="1" applyFill="1" applyBorder="1" applyAlignment="1">
      <alignment horizontal="left" vertical="top"/>
    </xf>
    <xf numFmtId="0" fontId="13" fillId="4" borderId="7" xfId="0" applyFont="1" applyFill="1" applyBorder="1" applyAlignment="1">
      <alignment horizontal="center" vertical="center"/>
    </xf>
    <xf numFmtId="0" fontId="8" fillId="0" borderId="7" xfId="0" applyFont="1" applyBorder="1" applyAlignment="1">
      <alignment horizontal="left" vertical="top"/>
    </xf>
    <xf numFmtId="0" fontId="8" fillId="5" borderId="18" xfId="0" applyFont="1" applyFill="1" applyBorder="1"/>
    <xf numFmtId="0" fontId="8" fillId="5" borderId="7" xfId="0" applyFont="1" applyFill="1" applyBorder="1"/>
    <xf numFmtId="0" fontId="8" fillId="5" borderId="7" xfId="0" applyFont="1" applyFill="1" applyBorder="1" applyAlignment="1">
      <alignment horizontal="left" vertical="top"/>
    </xf>
    <xf numFmtId="0" fontId="8" fillId="5" borderId="1" xfId="0" applyFont="1" applyFill="1" applyBorder="1" applyAlignment="1">
      <alignment horizontal="left" vertical="top"/>
    </xf>
    <xf numFmtId="0" fontId="8" fillId="5" borderId="1" xfId="0" applyFont="1" applyFill="1" applyBorder="1"/>
    <xf numFmtId="0" fontId="8" fillId="5" borderId="20" xfId="0" applyFont="1" applyFill="1" applyBorder="1"/>
    <xf numFmtId="0" fontId="8" fillId="5" borderId="21" xfId="0" applyFont="1" applyFill="1" applyBorder="1"/>
    <xf numFmtId="0" fontId="8" fillId="5" borderId="21" xfId="0" applyFont="1" applyFill="1" applyBorder="1" applyAlignment="1">
      <alignment horizontal="left" vertical="top"/>
    </xf>
    <xf numFmtId="0" fontId="8" fillId="0" borderId="0" xfId="0" applyFont="1" applyAlignment="1">
      <alignment horizontal="left" vertical="top" wrapText="1"/>
    </xf>
    <xf numFmtId="0" fontId="8" fillId="0" borderId="7" xfId="0" applyFont="1" applyBorder="1" applyAlignment="1">
      <alignment horizontal="left" vertical="top" wrapText="1"/>
    </xf>
    <xf numFmtId="0" fontId="9" fillId="0" borderId="21" xfId="0" applyFont="1" applyBorder="1" applyAlignment="1">
      <alignment horizontal="left" vertical="top" wrapText="1"/>
    </xf>
    <xf numFmtId="0" fontId="0" fillId="0" borderId="31" xfId="0" applyBorder="1" applyAlignment="1">
      <alignment wrapText="1"/>
    </xf>
    <xf numFmtId="0" fontId="0" fillId="0" borderId="32" xfId="0" applyBorder="1" applyAlignment="1">
      <alignment wrapText="1"/>
    </xf>
    <xf numFmtId="0" fontId="0" fillId="0" borderId="32" xfId="0" applyBorder="1"/>
    <xf numFmtId="0" fontId="0" fillId="0" borderId="33" xfId="0" applyBorder="1"/>
    <xf numFmtId="0" fontId="14" fillId="0" borderId="16" xfId="0" applyFont="1" applyBorder="1" applyAlignment="1">
      <alignment horizontal="center"/>
    </xf>
    <xf numFmtId="0" fontId="8" fillId="0" borderId="8" xfId="0" applyFont="1" applyBorder="1" applyAlignment="1">
      <alignment horizontal="left" vertical="top"/>
    </xf>
    <xf numFmtId="0" fontId="9" fillId="0" borderId="0" xfId="0" applyFont="1" applyAlignment="1">
      <alignment horizontal="left" vertical="top" wrapText="1"/>
    </xf>
    <xf numFmtId="0" fontId="8" fillId="0" borderId="17" xfId="0" applyFont="1" applyBorder="1" applyAlignment="1">
      <alignment horizontal="left" vertical="top"/>
    </xf>
    <xf numFmtId="0" fontId="8" fillId="0" borderId="21" xfId="0" applyFont="1" applyBorder="1" applyAlignment="1">
      <alignment horizontal="left" vertical="top" wrapText="1"/>
    </xf>
    <xf numFmtId="0" fontId="7" fillId="0" borderId="8" xfId="0" applyFont="1" applyBorder="1" applyAlignment="1">
      <alignment horizontal="left" vertical="top"/>
    </xf>
    <xf numFmtId="0" fontId="7" fillId="2" borderId="21" xfId="0" applyFont="1" applyFill="1" applyBorder="1" applyAlignment="1">
      <alignment horizontal="left" vertical="top" wrapText="1"/>
    </xf>
    <xf numFmtId="0" fontId="10" fillId="0" borderId="8" xfId="0" applyFont="1" applyBorder="1" applyAlignment="1">
      <alignment horizontal="left" vertical="top" wrapText="1" readingOrder="1"/>
    </xf>
    <xf numFmtId="0" fontId="10" fillId="0" borderId="7" xfId="0" applyFont="1" applyBorder="1" applyAlignment="1">
      <alignment horizontal="left" vertical="top" wrapText="1" readingOrder="1"/>
    </xf>
    <xf numFmtId="0" fontId="8" fillId="0" borderId="9" xfId="0" applyFont="1" applyBorder="1" applyAlignment="1">
      <alignment horizontal="left" vertical="top"/>
    </xf>
    <xf numFmtId="0" fontId="7" fillId="0" borderId="1" xfId="0" applyFont="1" applyBorder="1" applyAlignment="1">
      <alignment horizontal="left" vertical="top"/>
    </xf>
    <xf numFmtId="0" fontId="11" fillId="2" borderId="21" xfId="0" applyFont="1" applyFill="1" applyBorder="1" applyAlignment="1">
      <alignment horizontal="left" vertical="top" wrapText="1"/>
    </xf>
    <xf numFmtId="0" fontId="8" fillId="0" borderId="8" xfId="0" applyFont="1" applyBorder="1" applyAlignment="1">
      <alignment horizontal="left" vertical="top" wrapText="1"/>
    </xf>
    <xf numFmtId="0" fontId="8" fillId="0" borderId="35" xfId="0" applyFont="1" applyBorder="1" applyAlignment="1">
      <alignment horizontal="left" vertical="top" wrapText="1"/>
    </xf>
    <xf numFmtId="0" fontId="7" fillId="9" borderId="1" xfId="0" applyFont="1" applyFill="1" applyBorder="1" applyAlignment="1">
      <alignment horizontal="left" vertical="top"/>
    </xf>
    <xf numFmtId="0" fontId="8" fillId="0" borderId="29" xfId="0" applyFont="1" applyBorder="1" applyAlignment="1">
      <alignment horizontal="left" vertical="top" wrapText="1"/>
    </xf>
    <xf numFmtId="0" fontId="9" fillId="0" borderId="8" xfId="0" applyFont="1" applyBorder="1" applyAlignment="1">
      <alignment horizontal="left" vertical="top" wrapText="1"/>
    </xf>
    <xf numFmtId="0" fontId="8" fillId="0" borderId="21" xfId="0" applyFont="1" applyBorder="1" applyAlignment="1">
      <alignment horizontal="left" vertical="top"/>
    </xf>
    <xf numFmtId="0" fontId="5" fillId="0" borderId="1" xfId="0" applyFont="1" applyBorder="1" applyAlignment="1">
      <alignment horizontal="left" vertical="top" wrapText="1"/>
    </xf>
    <xf numFmtId="0" fontId="5" fillId="0" borderId="0" xfId="0" applyFont="1" applyAlignment="1">
      <alignment horizontal="left" vertical="top" wrapText="1"/>
    </xf>
    <xf numFmtId="0" fontId="8" fillId="0" borderId="29" xfId="0" applyFont="1" applyBorder="1" applyAlignment="1">
      <alignment horizontal="left" vertical="top"/>
    </xf>
    <xf numFmtId="3" fontId="8" fillId="0" borderId="8" xfId="0" applyNumberFormat="1" applyFont="1" applyBorder="1" applyAlignment="1">
      <alignment horizontal="left" vertical="top"/>
    </xf>
    <xf numFmtId="0" fontId="8" fillId="0" borderId="35" xfId="0" applyFont="1" applyBorder="1" applyAlignment="1">
      <alignment horizontal="left" vertical="top"/>
    </xf>
    <xf numFmtId="0" fontId="8" fillId="0" borderId="30" xfId="0" applyFont="1" applyBorder="1" applyAlignment="1">
      <alignment horizontal="left" vertical="top"/>
    </xf>
    <xf numFmtId="0" fontId="11" fillId="2" borderId="1" xfId="0" applyFont="1" applyFill="1" applyBorder="1" applyAlignment="1">
      <alignment horizontal="left" vertical="top"/>
    </xf>
    <xf numFmtId="0" fontId="8" fillId="0" borderId="15" xfId="0" applyFont="1" applyBorder="1" applyAlignment="1">
      <alignment horizontal="left" vertical="top"/>
    </xf>
    <xf numFmtId="0" fontId="15" fillId="0" borderId="1" xfId="0" applyFont="1" applyBorder="1" applyAlignment="1">
      <alignment horizontal="left" vertical="top" wrapText="1"/>
    </xf>
    <xf numFmtId="0" fontId="8" fillId="11" borderId="1" xfId="0" applyFont="1" applyFill="1" applyBorder="1"/>
    <xf numFmtId="0" fontId="13" fillId="4" borderId="15" xfId="0" applyFont="1" applyFill="1" applyBorder="1" applyAlignment="1">
      <alignment horizontal="center" vertical="center"/>
    </xf>
    <xf numFmtId="0" fontId="12" fillId="3" borderId="1" xfId="0" applyFont="1" applyFill="1" applyBorder="1"/>
    <xf numFmtId="0" fontId="8" fillId="11" borderId="7" xfId="0" applyFont="1" applyFill="1" applyBorder="1"/>
    <xf numFmtId="0" fontId="11" fillId="3" borderId="17" xfId="0" applyFont="1" applyFill="1" applyBorder="1" applyAlignment="1">
      <alignment horizontal="left" vertical="center"/>
    </xf>
    <xf numFmtId="0" fontId="11" fillId="3" borderId="1" xfId="0" applyFont="1" applyFill="1" applyBorder="1" applyAlignment="1">
      <alignment horizontal="left" vertical="center"/>
    </xf>
    <xf numFmtId="0" fontId="11" fillId="6" borderId="1" xfId="0" applyFont="1" applyFill="1" applyBorder="1" applyAlignment="1">
      <alignment horizontal="left" vertical="top"/>
    </xf>
    <xf numFmtId="0" fontId="11" fillId="6" borderId="1" xfId="0" applyFont="1" applyFill="1" applyBorder="1" applyAlignment="1">
      <alignment horizontal="left" vertical="top" wrapText="1"/>
    </xf>
    <xf numFmtId="0" fontId="11" fillId="6" borderId="9" xfId="0" applyFont="1" applyFill="1" applyBorder="1" applyAlignment="1">
      <alignment horizontal="left" vertical="top"/>
    </xf>
    <xf numFmtId="0" fontId="8" fillId="0" borderId="8" xfId="0" applyFont="1" applyBorder="1"/>
    <xf numFmtId="0" fontId="11" fillId="6" borderId="29" xfId="0" applyFont="1" applyFill="1" applyBorder="1" applyAlignment="1">
      <alignment horizontal="left" vertical="top"/>
    </xf>
    <xf numFmtId="0" fontId="8" fillId="0" borderId="21" xfId="0" applyFont="1" applyBorder="1"/>
    <xf numFmtId="0" fontId="15" fillId="0" borderId="7" xfId="0" applyFont="1" applyBorder="1" applyAlignment="1">
      <alignment horizontal="left" vertical="top" wrapText="1"/>
    </xf>
    <xf numFmtId="0" fontId="10" fillId="0" borderId="17" xfId="0" applyFont="1" applyBorder="1" applyAlignment="1">
      <alignment horizontal="left" vertical="top" wrapText="1" readingOrder="1"/>
    </xf>
    <xf numFmtId="0" fontId="11" fillId="6" borderId="9" xfId="0" applyFont="1" applyFill="1" applyBorder="1" applyAlignment="1">
      <alignment horizontal="left" vertical="top" wrapText="1"/>
    </xf>
    <xf numFmtId="0" fontId="11" fillId="6" borderId="29" xfId="0" applyFont="1" applyFill="1" applyBorder="1" applyAlignment="1">
      <alignment horizontal="left" vertical="top" wrapText="1"/>
    </xf>
    <xf numFmtId="0" fontId="0" fillId="0" borderId="11" xfId="0" applyBorder="1"/>
    <xf numFmtId="0" fontId="0" fillId="0" borderId="12" xfId="0" applyBorder="1"/>
    <xf numFmtId="0" fontId="0" fillId="0" borderId="13" xfId="0" applyBorder="1"/>
    <xf numFmtId="0" fontId="0" fillId="0" borderId="47" xfId="0" applyBorder="1"/>
    <xf numFmtId="0" fontId="0" fillId="0" borderId="16" xfId="0" applyBorder="1"/>
    <xf numFmtId="0" fontId="0" fillId="0" borderId="48" xfId="0" applyBorder="1"/>
    <xf numFmtId="0" fontId="0" fillId="0" borderId="49" xfId="0" applyBorder="1"/>
    <xf numFmtId="0" fontId="0" fillId="0" borderId="19" xfId="0" applyBorder="1"/>
    <xf numFmtId="0" fontId="11" fillId="3" borderId="1" xfId="0" applyFont="1" applyFill="1" applyBorder="1" applyAlignment="1">
      <alignment horizontal="left" vertical="top" wrapText="1"/>
    </xf>
    <xf numFmtId="0" fontId="9" fillId="10" borderId="1" xfId="0" applyFont="1" applyFill="1" applyBorder="1" applyAlignment="1">
      <alignment horizontal="left" vertical="top" wrapText="1"/>
    </xf>
    <xf numFmtId="0" fontId="16" fillId="3" borderId="8" xfId="0" applyFont="1" applyFill="1" applyBorder="1" applyAlignment="1">
      <alignment horizontal="left" vertical="top"/>
    </xf>
    <xf numFmtId="0" fontId="16" fillId="3" borderId="1" xfId="0" applyFont="1" applyFill="1" applyBorder="1" applyAlignment="1">
      <alignment horizontal="left" vertical="top"/>
    </xf>
    <xf numFmtId="0" fontId="16" fillId="3" borderId="1" xfId="0" applyFont="1" applyFill="1" applyBorder="1" applyAlignment="1">
      <alignment horizontal="left" vertical="top" wrapText="1"/>
    </xf>
    <xf numFmtId="0" fontId="16" fillId="3" borderId="35" xfId="0" applyFont="1" applyFill="1" applyBorder="1"/>
    <xf numFmtId="0" fontId="16" fillId="3" borderId="9" xfId="0" applyFont="1" applyFill="1" applyBorder="1"/>
    <xf numFmtId="0" fontId="17" fillId="3" borderId="9" xfId="0" applyFont="1" applyFill="1" applyBorder="1"/>
    <xf numFmtId="0" fontId="19" fillId="3" borderId="9" xfId="0" applyFont="1" applyFill="1" applyBorder="1"/>
    <xf numFmtId="0" fontId="12" fillId="3" borderId="1" xfId="0" applyFont="1" applyFill="1" applyBorder="1" applyAlignment="1">
      <alignment horizontal="center"/>
    </xf>
    <xf numFmtId="0" fontId="18" fillId="3" borderId="9" xfId="0" applyFont="1" applyFill="1" applyBorder="1" applyAlignment="1">
      <alignment horizontal="center" vertical="top"/>
    </xf>
    <xf numFmtId="0" fontId="16" fillId="3" borderId="1" xfId="0" applyFont="1" applyFill="1" applyBorder="1" applyAlignment="1">
      <alignment horizontal="center" vertical="top"/>
    </xf>
    <xf numFmtId="0" fontId="13" fillId="3" borderId="8" xfId="0" applyFont="1" applyFill="1" applyBorder="1" applyAlignment="1">
      <alignment horizontal="center" vertical="top"/>
    </xf>
    <xf numFmtId="0" fontId="8" fillId="5" borderId="8" xfId="0" applyFont="1" applyFill="1" applyBorder="1" applyAlignment="1">
      <alignment horizontal="center"/>
    </xf>
    <xf numFmtId="0" fontId="8" fillId="5" borderId="34" xfId="0" applyFont="1" applyFill="1" applyBorder="1" applyAlignment="1">
      <alignment horizontal="center"/>
    </xf>
    <xf numFmtId="0" fontId="11" fillId="6" borderId="1" xfId="0" applyFont="1" applyFill="1" applyBorder="1" applyAlignment="1">
      <alignment horizontal="center" vertical="top"/>
    </xf>
    <xf numFmtId="0" fontId="20" fillId="0" borderId="1" xfId="0" applyFont="1" applyBorder="1" applyAlignment="1">
      <alignment horizontal="center" vertical="top" wrapText="1"/>
    </xf>
    <xf numFmtId="0" fontId="8" fillId="0" borderId="1" xfId="0" applyFont="1" applyBorder="1" applyAlignment="1">
      <alignment horizontal="center" vertical="top"/>
    </xf>
    <xf numFmtId="0" fontId="8" fillId="0" borderId="0" xfId="0" applyFont="1" applyAlignment="1">
      <alignment horizontal="center" vertical="top"/>
    </xf>
    <xf numFmtId="0" fontId="8" fillId="0" borderId="0" xfId="0" applyFont="1" applyAlignment="1">
      <alignment horizontal="center"/>
    </xf>
    <xf numFmtId="0" fontId="16" fillId="0" borderId="16" xfId="0" applyFont="1" applyBorder="1" applyAlignment="1">
      <alignment horizontal="center" vertical="center"/>
    </xf>
    <xf numFmtId="0" fontId="14" fillId="0" borderId="43" xfId="0" applyFont="1" applyBorder="1" applyAlignment="1">
      <alignment horizontal="center"/>
    </xf>
    <xf numFmtId="0" fontId="14" fillId="0" borderId="50" xfId="0" applyFont="1" applyBorder="1"/>
    <xf numFmtId="0" fontId="21" fillId="0" borderId="1" xfId="0" applyFont="1" applyBorder="1" applyAlignment="1">
      <alignment horizontal="left" vertical="top" wrapText="1"/>
    </xf>
    <xf numFmtId="0" fontId="11" fillId="2" borderId="1" xfId="0" applyFont="1" applyFill="1" applyBorder="1" applyAlignment="1">
      <alignment horizontal="left" vertical="top" wrapText="1"/>
    </xf>
    <xf numFmtId="0" fontId="11" fillId="2" borderId="21" xfId="0" applyFont="1" applyFill="1" applyBorder="1" applyAlignment="1">
      <alignment horizontal="left" vertical="top"/>
    </xf>
    <xf numFmtId="0" fontId="8" fillId="0" borderId="34" xfId="0" applyFont="1" applyBorder="1"/>
    <xf numFmtId="0" fontId="11" fillId="2" borderId="29" xfId="0" applyFont="1" applyFill="1" applyBorder="1" applyAlignment="1">
      <alignment horizontal="left" vertical="top" wrapText="1"/>
    </xf>
    <xf numFmtId="0" fontId="10" fillId="0" borderId="18" xfId="0" applyFont="1" applyBorder="1" applyAlignment="1">
      <alignment horizontal="left" vertical="top" wrapText="1" readingOrder="1"/>
    </xf>
    <xf numFmtId="0" fontId="9" fillId="0" borderId="9" xfId="0" applyFont="1" applyBorder="1" applyAlignment="1">
      <alignment horizontal="left" vertical="top" wrapText="1"/>
    </xf>
    <xf numFmtId="0" fontId="8" fillId="0" borderId="35" xfId="0" applyFont="1" applyBorder="1"/>
    <xf numFmtId="3" fontId="8" fillId="0" borderId="1" xfId="0" applyNumberFormat="1" applyFont="1" applyBorder="1" applyAlignment="1">
      <alignment horizontal="left" vertical="top"/>
    </xf>
    <xf numFmtId="0" fontId="8" fillId="0" borderId="18" xfId="0" applyFont="1" applyBorder="1" applyAlignment="1">
      <alignment horizontal="left" vertical="top"/>
    </xf>
    <xf numFmtId="0" fontId="10" fillId="0" borderId="34" xfId="0" applyFont="1" applyBorder="1" applyAlignment="1">
      <alignment horizontal="left" vertical="top" wrapText="1" readingOrder="1"/>
    </xf>
    <xf numFmtId="0" fontId="8" fillId="0" borderId="7" xfId="0" applyFont="1" applyBorder="1"/>
    <xf numFmtId="0" fontId="8" fillId="0" borderId="18" xfId="0" applyFont="1" applyBorder="1"/>
    <xf numFmtId="0" fontId="10" fillId="0" borderId="21" xfId="0" applyFont="1" applyBorder="1" applyAlignment="1">
      <alignment horizontal="left" vertical="top" wrapText="1" readingOrder="1"/>
    </xf>
    <xf numFmtId="0" fontId="11" fillId="2" borderId="9" xfId="0" applyFont="1" applyFill="1" applyBorder="1" applyAlignment="1">
      <alignment horizontal="left" vertical="top" wrapText="1"/>
    </xf>
    <xf numFmtId="0" fontId="11" fillId="2" borderId="7" xfId="0" applyFont="1" applyFill="1" applyBorder="1" applyAlignment="1">
      <alignment horizontal="left" vertical="top"/>
    </xf>
    <xf numFmtId="0" fontId="11" fillId="2" borderId="7" xfId="0" applyFont="1" applyFill="1" applyBorder="1" applyAlignment="1">
      <alignment horizontal="left" vertical="top" wrapText="1"/>
    </xf>
    <xf numFmtId="0" fontId="7" fillId="0" borderId="1" xfId="0" applyFont="1" applyBorder="1" applyAlignment="1">
      <alignment vertical="top"/>
    </xf>
    <xf numFmtId="0" fontId="9" fillId="0" borderId="29" xfId="0" applyFont="1" applyBorder="1" applyAlignment="1">
      <alignment horizontal="left" vertical="top" wrapText="1"/>
    </xf>
    <xf numFmtId="0" fontId="23" fillId="0" borderId="1" xfId="0" applyFont="1" applyBorder="1" applyAlignment="1">
      <alignment horizontal="left" vertical="top" wrapText="1"/>
    </xf>
    <xf numFmtId="0" fontId="24" fillId="0" borderId="1" xfId="0" applyFont="1" applyBorder="1" applyAlignment="1">
      <alignment horizontal="left" vertical="top" wrapText="1"/>
    </xf>
    <xf numFmtId="0" fontId="24" fillId="0" borderId="21" xfId="0" applyFont="1" applyBorder="1" applyAlignment="1">
      <alignment horizontal="left" vertical="top" wrapText="1"/>
    </xf>
    <xf numFmtId="0" fontId="0" fillId="0" borderId="1" xfId="0" applyBorder="1" applyAlignment="1">
      <alignment horizontal="left" vertical="top" wrapText="1"/>
    </xf>
    <xf numFmtId="0" fontId="25" fillId="0" borderId="1" xfId="0" applyFont="1" applyBorder="1" applyAlignment="1">
      <alignment horizontal="left" vertical="top" wrapText="1"/>
    </xf>
    <xf numFmtId="0" fontId="25" fillId="0" borderId="21" xfId="0" applyFont="1" applyBorder="1" applyAlignment="1">
      <alignment horizontal="left" vertical="top" wrapText="1"/>
    </xf>
    <xf numFmtId="0" fontId="0" fillId="0" borderId="21" xfId="0" applyBorder="1" applyAlignment="1">
      <alignment horizontal="left" vertical="top" wrapText="1"/>
    </xf>
    <xf numFmtId="0" fontId="18" fillId="3" borderId="9" xfId="0" applyFont="1" applyFill="1" applyBorder="1" applyAlignment="1">
      <alignment horizontal="left" vertical="top"/>
    </xf>
    <xf numFmtId="0" fontId="19" fillId="3" borderId="9" xfId="0" applyFont="1" applyFill="1" applyBorder="1" applyAlignment="1">
      <alignment horizontal="left"/>
    </xf>
    <xf numFmtId="0" fontId="8" fillId="0" borderId="34" xfId="0" applyFont="1" applyBorder="1" applyAlignment="1">
      <alignment horizontal="left" vertical="top"/>
    </xf>
    <xf numFmtId="0" fontId="15" fillId="0" borderId="21" xfId="0" applyFont="1" applyBorder="1" applyAlignment="1">
      <alignment horizontal="left" vertical="top" wrapText="1"/>
    </xf>
    <xf numFmtId="0" fontId="8" fillId="0" borderId="8" xfId="0" applyFont="1" applyBorder="1" applyAlignment="1">
      <alignment horizontal="center" vertical="top" wrapText="1"/>
    </xf>
    <xf numFmtId="0" fontId="8" fillId="0" borderId="7" xfId="0" applyFont="1" applyBorder="1" applyAlignment="1">
      <alignment horizontal="center" vertical="top" wrapText="1"/>
    </xf>
    <xf numFmtId="0" fontId="8" fillId="0" borderId="1" xfId="0" applyFont="1" applyBorder="1" applyAlignment="1">
      <alignment horizontal="center" vertical="top" wrapText="1"/>
    </xf>
    <xf numFmtId="0" fontId="26" fillId="0" borderId="1" xfId="0" applyFont="1" applyBorder="1" applyAlignment="1">
      <alignment horizontal="left" vertical="top" wrapText="1"/>
    </xf>
    <xf numFmtId="0" fontId="8" fillId="2" borderId="1" xfId="0" applyFont="1" applyFill="1" applyBorder="1" applyAlignment="1">
      <alignment horizontal="left" vertical="top"/>
    </xf>
    <xf numFmtId="0" fontId="8" fillId="2" borderId="1" xfId="0" applyFont="1" applyFill="1" applyBorder="1" applyAlignment="1">
      <alignment horizontal="center" vertical="top" wrapText="1"/>
    </xf>
    <xf numFmtId="0" fontId="10" fillId="2" borderId="1" xfId="0" applyFont="1" applyFill="1" applyBorder="1" applyAlignment="1">
      <alignment horizontal="left" vertical="top" wrapText="1" readingOrder="1"/>
    </xf>
    <xf numFmtId="0" fontId="26" fillId="2" borderId="1" xfId="0" applyFont="1" applyFill="1" applyBorder="1" applyAlignment="1">
      <alignment horizontal="left" vertical="top" wrapText="1"/>
    </xf>
    <xf numFmtId="0" fontId="8" fillId="2" borderId="1" xfId="0" applyFont="1" applyFill="1" applyBorder="1" applyAlignment="1">
      <alignment horizontal="left" vertical="top" wrapText="1"/>
    </xf>
    <xf numFmtId="0" fontId="8" fillId="2" borderId="8" xfId="0" applyFont="1" applyFill="1" applyBorder="1"/>
    <xf numFmtId="0" fontId="8" fillId="2" borderId="0" xfId="0" applyFont="1" applyFill="1"/>
    <xf numFmtId="0" fontId="8" fillId="0" borderId="1" xfId="0" applyFont="1" applyBorder="1" applyAlignment="1">
      <alignment horizontal="center"/>
    </xf>
    <xf numFmtId="0" fontId="7" fillId="0" borderId="21" xfId="0" applyFont="1" applyBorder="1" applyAlignment="1">
      <alignment horizontal="left" vertical="top" wrapText="1"/>
    </xf>
    <xf numFmtId="0" fontId="11" fillId="0" borderId="21" xfId="0" applyFont="1" applyBorder="1" applyAlignment="1">
      <alignment horizontal="left" vertical="top" wrapText="1"/>
    </xf>
    <xf numFmtId="0" fontId="11" fillId="0" borderId="1" xfId="0" applyFont="1" applyBorder="1" applyAlignment="1">
      <alignment horizontal="left" vertical="top"/>
    </xf>
    <xf numFmtId="0" fontId="8" fillId="0" borderId="9" xfId="0" applyFont="1" applyBorder="1" applyAlignment="1">
      <alignment horizontal="left" vertical="top" wrapText="1"/>
    </xf>
    <xf numFmtId="0" fontId="11" fillId="0" borderId="1" xfId="0" applyFont="1" applyBorder="1" applyAlignment="1">
      <alignment horizontal="left" vertical="top" wrapText="1"/>
    </xf>
    <xf numFmtId="0" fontId="11" fillId="0" borderId="8" xfId="0" applyFont="1" applyBorder="1" applyAlignment="1">
      <alignment horizontal="left" vertical="top" wrapText="1"/>
    </xf>
    <xf numFmtId="0" fontId="11" fillId="2" borderId="8" xfId="0" applyFont="1" applyFill="1" applyBorder="1" applyAlignment="1">
      <alignment horizontal="left" vertical="top" wrapText="1"/>
    </xf>
    <xf numFmtId="0" fontId="0" fillId="0" borderId="51" xfId="0" applyBorder="1"/>
    <xf numFmtId="0" fontId="2" fillId="0" borderId="20" xfId="1" applyBorder="1"/>
    <xf numFmtId="0" fontId="0" fillId="0" borderId="52" xfId="0" applyBorder="1"/>
    <xf numFmtId="0" fontId="8" fillId="0" borderId="1" xfId="0" applyFont="1" applyBorder="1" applyAlignment="1">
      <alignment wrapText="1"/>
    </xf>
    <xf numFmtId="0" fontId="8" fillId="2" borderId="1" xfId="0" applyFont="1" applyFill="1" applyBorder="1" applyAlignment="1">
      <alignment wrapText="1"/>
    </xf>
    <xf numFmtId="0" fontId="8" fillId="11" borderId="15" xfId="0" applyFont="1" applyFill="1" applyBorder="1"/>
    <xf numFmtId="0" fontId="19" fillId="3" borderId="35" xfId="0" applyFont="1" applyFill="1" applyBorder="1"/>
    <xf numFmtId="0" fontId="8" fillId="11" borderId="8" xfId="0" applyFont="1" applyFill="1" applyBorder="1"/>
    <xf numFmtId="0" fontId="11" fillId="6" borderId="35" xfId="0" applyFont="1" applyFill="1" applyBorder="1" applyAlignment="1">
      <alignment horizontal="left" vertical="top"/>
    </xf>
    <xf numFmtId="0" fontId="8" fillId="11" borderId="1" xfId="0" applyFont="1" applyFill="1" applyBorder="1" applyAlignment="1">
      <alignment horizontal="left" vertical="top" wrapText="1"/>
    </xf>
    <xf numFmtId="0" fontId="13" fillId="3" borderId="7" xfId="0" applyFont="1" applyFill="1" applyBorder="1" applyAlignment="1">
      <alignment horizontal="left" vertical="top" wrapText="1"/>
    </xf>
    <xf numFmtId="0" fontId="13" fillId="4" borderId="7" xfId="0" applyFont="1" applyFill="1" applyBorder="1" applyAlignment="1">
      <alignment horizontal="left" vertical="top" wrapText="1"/>
    </xf>
    <xf numFmtId="0" fontId="8" fillId="5" borderId="7" xfId="0" applyFont="1" applyFill="1" applyBorder="1" applyAlignment="1">
      <alignment horizontal="left" vertical="top" wrapText="1"/>
    </xf>
    <xf numFmtId="0" fontId="8" fillId="5" borderId="21" xfId="0" applyFont="1" applyFill="1" applyBorder="1" applyAlignment="1">
      <alignment horizontal="left" vertical="top" wrapText="1"/>
    </xf>
    <xf numFmtId="0" fontId="8" fillId="2" borderId="7" xfId="0" applyFont="1" applyFill="1" applyBorder="1" applyAlignment="1">
      <alignment horizontal="left" vertical="top" wrapText="1"/>
    </xf>
    <xf numFmtId="0" fontId="27" fillId="0" borderId="1" xfId="0" applyFont="1" applyBorder="1" applyAlignment="1">
      <alignment horizontal="left" vertical="top" wrapText="1"/>
    </xf>
    <xf numFmtId="0" fontId="27" fillId="0" borderId="0" xfId="0" applyFont="1" applyAlignment="1">
      <alignment horizontal="left" vertical="top" wrapText="1"/>
    </xf>
    <xf numFmtId="0" fontId="8" fillId="0" borderId="1" xfId="0" applyFont="1" applyBorder="1" applyAlignment="1">
      <alignment vertical="top"/>
    </xf>
    <xf numFmtId="0" fontId="8" fillId="0" borderId="1" xfId="0" applyFont="1" applyBorder="1" applyAlignment="1">
      <alignment vertical="top" wrapText="1"/>
    </xf>
    <xf numFmtId="0" fontId="8" fillId="2" borderId="21" xfId="0" applyFont="1" applyFill="1" applyBorder="1" applyAlignment="1">
      <alignment horizontal="left" vertical="top"/>
    </xf>
    <xf numFmtId="0" fontId="11" fillId="2" borderId="34" xfId="0" applyFont="1" applyFill="1" applyBorder="1" applyAlignment="1">
      <alignment horizontal="left" vertical="top" wrapText="1"/>
    </xf>
    <xf numFmtId="0" fontId="8" fillId="0" borderId="21" xfId="0" applyFont="1" applyBorder="1" applyAlignment="1">
      <alignment horizontal="center"/>
    </xf>
    <xf numFmtId="0" fontId="8" fillId="0" borderId="18" xfId="0" applyFont="1" applyBorder="1" applyAlignment="1">
      <alignment horizontal="left" vertical="top" wrapText="1"/>
    </xf>
    <xf numFmtId="0" fontId="5" fillId="0" borderId="29" xfId="0" applyFont="1" applyBorder="1" applyAlignment="1">
      <alignment horizontal="left" vertical="top" wrapText="1"/>
    </xf>
    <xf numFmtId="0" fontId="6" fillId="8" borderId="28" xfId="0" applyFont="1" applyFill="1" applyBorder="1" applyAlignment="1">
      <alignment horizontal="center"/>
    </xf>
    <xf numFmtId="0" fontId="6" fillId="8" borderId="3" xfId="0" applyFont="1" applyFill="1" applyBorder="1" applyAlignment="1">
      <alignment horizontal="center"/>
    </xf>
    <xf numFmtId="0" fontId="0" fillId="0" borderId="1" xfId="0" applyBorder="1" applyAlignment="1">
      <alignment horizont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0" xfId="0" applyFont="1" applyFill="1" applyAlignment="1">
      <alignment horizontal="center" vertical="center"/>
    </xf>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0" fillId="2" borderId="1" xfId="0" applyFill="1" applyBorder="1" applyAlignment="1">
      <alignment horizontal="center" vertical="center"/>
    </xf>
    <xf numFmtId="0" fontId="2" fillId="0" borderId="1" xfId="1" applyBorder="1" applyAlignment="1">
      <alignment horizontal="center"/>
    </xf>
    <xf numFmtId="0" fontId="3" fillId="0" borderId="22" xfId="0" applyFont="1" applyBorder="1" applyAlignment="1">
      <alignment horizontal="center" vertical="center"/>
    </xf>
    <xf numFmtId="0" fontId="3" fillId="0" borderId="23" xfId="0" applyFont="1" applyBorder="1" applyAlignment="1">
      <alignment horizontal="center" vertical="center"/>
    </xf>
    <xf numFmtId="0" fontId="3" fillId="0" borderId="24" xfId="0" applyFont="1" applyBorder="1" applyAlignment="1">
      <alignment horizontal="center" vertical="center"/>
    </xf>
    <xf numFmtId="0" fontId="12" fillId="3" borderId="15" xfId="0" applyFont="1" applyFill="1" applyBorder="1" applyAlignment="1">
      <alignment horizontal="center"/>
    </xf>
    <xf numFmtId="0" fontId="12" fillId="3" borderId="15" xfId="0" applyFont="1" applyFill="1" applyBorder="1" applyAlignment="1">
      <alignment horizontal="center" wrapText="1"/>
    </xf>
    <xf numFmtId="0" fontId="11" fillId="2" borderId="11" xfId="0" applyFont="1" applyFill="1" applyBorder="1" applyAlignment="1">
      <alignment horizontal="left" vertical="center"/>
    </xf>
    <xf numFmtId="0" fontId="11" fillId="2" borderId="12" xfId="0" applyFont="1" applyFill="1" applyBorder="1" applyAlignment="1">
      <alignment horizontal="left" vertical="center"/>
    </xf>
    <xf numFmtId="0" fontId="11" fillId="2" borderId="13" xfId="0" applyFont="1" applyFill="1" applyBorder="1" applyAlignment="1">
      <alignment horizontal="left" vertical="center"/>
    </xf>
    <xf numFmtId="0" fontId="11" fillId="2" borderId="42" xfId="0" applyFont="1" applyFill="1" applyBorder="1" applyAlignment="1">
      <alignment horizontal="left" vertical="center"/>
    </xf>
    <xf numFmtId="0" fontId="11" fillId="2" borderId="21" xfId="0" applyFont="1" applyFill="1" applyBorder="1" applyAlignment="1">
      <alignment horizontal="left" vertical="center"/>
    </xf>
    <xf numFmtId="0" fontId="11" fillId="2" borderId="43" xfId="0" applyFont="1" applyFill="1" applyBorder="1" applyAlignment="1">
      <alignment horizontal="left" vertical="center"/>
    </xf>
    <xf numFmtId="0" fontId="11" fillId="2" borderId="36" xfId="0" applyFont="1" applyFill="1" applyBorder="1" applyAlignment="1">
      <alignment horizontal="left"/>
    </xf>
    <xf numFmtId="0" fontId="11" fillId="2" borderId="37" xfId="0" applyFont="1" applyFill="1" applyBorder="1" applyAlignment="1">
      <alignment horizontal="left"/>
    </xf>
    <xf numFmtId="0" fontId="11" fillId="2" borderId="38" xfId="0" applyFont="1" applyFill="1" applyBorder="1" applyAlignment="1">
      <alignment horizontal="left"/>
    </xf>
    <xf numFmtId="0" fontId="11" fillId="2" borderId="39" xfId="0" applyFont="1" applyFill="1" applyBorder="1" applyAlignment="1">
      <alignment horizontal="left"/>
    </xf>
    <xf numFmtId="0" fontId="11" fillId="2" borderId="40" xfId="0" applyFont="1" applyFill="1" applyBorder="1" applyAlignment="1">
      <alignment horizontal="left"/>
    </xf>
    <xf numFmtId="0" fontId="11" fillId="2" borderId="41" xfId="0" applyFont="1" applyFill="1" applyBorder="1" applyAlignment="1">
      <alignment horizontal="left"/>
    </xf>
    <xf numFmtId="0" fontId="11" fillId="2" borderId="44" xfId="0" applyFont="1" applyFill="1" applyBorder="1" applyAlignment="1">
      <alignment horizontal="left"/>
    </xf>
    <xf numFmtId="0" fontId="11" fillId="2" borderId="45" xfId="0" applyFont="1" applyFill="1" applyBorder="1" applyAlignment="1">
      <alignment horizontal="left"/>
    </xf>
    <xf numFmtId="0" fontId="11" fillId="2" borderId="46" xfId="0" applyFont="1" applyFill="1" applyBorder="1" applyAlignment="1">
      <alignment horizontal="left"/>
    </xf>
    <xf numFmtId="0" fontId="11" fillId="2" borderId="11" xfId="0" applyFont="1" applyFill="1" applyBorder="1" applyAlignment="1">
      <alignment horizontal="left"/>
    </xf>
    <xf numFmtId="0" fontId="11" fillId="2" borderId="12" xfId="0" applyFont="1" applyFill="1" applyBorder="1" applyAlignment="1">
      <alignment horizontal="left"/>
    </xf>
    <xf numFmtId="0" fontId="11" fillId="2" borderId="13" xfId="0" applyFont="1" applyFill="1" applyBorder="1" applyAlignment="1">
      <alignment horizontal="left"/>
    </xf>
    <xf numFmtId="0" fontId="12" fillId="3" borderId="14" xfId="0" applyFont="1" applyFill="1" applyBorder="1" applyAlignment="1">
      <alignment horizontal="center"/>
    </xf>
  </cellXfs>
  <cellStyles count="2">
    <cellStyle name="Hyperlink" xfId="1" builtinId="8"/>
    <cellStyle name="Normal" xfId="0" builtinId="0"/>
  </cellStyles>
  <dxfs count="15">
    <dxf>
      <font>
        <b/>
        <i val="0"/>
        <color theme="1" tint="4.9989318521683403E-2"/>
      </font>
      <fill>
        <patternFill patternType="solid">
          <bgColor rgb="FFFFFFAD"/>
        </patternFill>
      </fill>
    </dxf>
    <dxf>
      <font>
        <b/>
        <i val="0"/>
        <color theme="1" tint="4.9989318521683403E-2"/>
      </font>
      <fill>
        <patternFill patternType="solid">
          <bgColor rgb="FFFF8A8A"/>
        </patternFill>
      </fill>
    </dxf>
    <dxf>
      <font>
        <b/>
        <i val="0"/>
        <color theme="1" tint="4.9989318521683403E-2"/>
      </font>
      <fill>
        <patternFill patternType="solid">
          <bgColor theme="9" tint="0.59999389629810485"/>
        </patternFill>
      </fill>
    </dxf>
    <dxf>
      <font>
        <b/>
        <i val="0"/>
        <color theme="1" tint="4.9989318521683403E-2"/>
      </font>
      <fill>
        <patternFill patternType="solid">
          <bgColor rgb="FFFFFFAD"/>
        </patternFill>
      </fill>
    </dxf>
    <dxf>
      <font>
        <b/>
        <i val="0"/>
        <color theme="1" tint="4.9989318521683403E-2"/>
      </font>
      <fill>
        <patternFill patternType="solid">
          <bgColor rgb="FFFF8A8A"/>
        </patternFill>
      </fill>
    </dxf>
    <dxf>
      <font>
        <b/>
        <i val="0"/>
        <color theme="1" tint="4.9989318521683403E-2"/>
      </font>
      <fill>
        <patternFill patternType="solid">
          <bgColor theme="9" tint="0.59999389629810485"/>
        </patternFill>
      </fill>
    </dxf>
    <dxf>
      <font>
        <b/>
        <i val="0"/>
        <color theme="1" tint="4.9989318521683403E-2"/>
      </font>
      <fill>
        <patternFill patternType="solid">
          <bgColor rgb="FFFFFFAD"/>
        </patternFill>
      </fill>
    </dxf>
    <dxf>
      <font>
        <b/>
        <i val="0"/>
        <color theme="1" tint="4.9989318521683403E-2"/>
      </font>
      <fill>
        <patternFill patternType="solid">
          <bgColor rgb="FFFF8A8A"/>
        </patternFill>
      </fill>
    </dxf>
    <dxf>
      <font>
        <b/>
        <i val="0"/>
        <color theme="1" tint="4.9989318521683403E-2"/>
      </font>
      <fill>
        <patternFill patternType="solid">
          <bgColor theme="9" tint="0.59999389629810485"/>
        </patternFill>
      </fill>
    </dxf>
    <dxf>
      <font>
        <b/>
        <i val="0"/>
        <color theme="1" tint="4.9989318521683403E-2"/>
      </font>
      <fill>
        <patternFill patternType="solid">
          <bgColor rgb="FFFFFFAD"/>
        </patternFill>
      </fill>
    </dxf>
    <dxf>
      <font>
        <b/>
        <i val="0"/>
        <color theme="1" tint="4.9989318521683403E-2"/>
      </font>
      <fill>
        <patternFill patternType="solid">
          <bgColor rgb="FFFF8A8A"/>
        </patternFill>
      </fill>
    </dxf>
    <dxf>
      <font>
        <b/>
        <i val="0"/>
        <color theme="1" tint="4.9989318521683403E-2"/>
      </font>
      <fill>
        <patternFill patternType="solid">
          <bgColor theme="9" tint="0.59999389629810485"/>
        </patternFill>
      </fill>
    </dxf>
    <dxf>
      <font>
        <b/>
        <i val="0"/>
        <color theme="1" tint="4.9989318521683403E-2"/>
      </font>
      <fill>
        <patternFill patternType="solid">
          <bgColor rgb="FFFFFFAD"/>
        </patternFill>
      </fill>
    </dxf>
    <dxf>
      <font>
        <b/>
        <i val="0"/>
        <color theme="1" tint="4.9989318521683403E-2"/>
      </font>
      <fill>
        <patternFill patternType="solid">
          <bgColor rgb="FFFF8A8A"/>
        </patternFill>
      </fill>
    </dxf>
    <dxf>
      <font>
        <b/>
        <i val="0"/>
        <color theme="1" tint="4.9989318521683403E-2"/>
      </font>
      <fill>
        <patternFill patternType="solid">
          <bgColor theme="9" tint="0.59999389629810485"/>
        </patternFill>
      </fill>
    </dxf>
  </dxfs>
  <tableStyles count="0" defaultTableStyle="TableStyleMedium2" defaultPivotStyle="PivotStyleMedium9"/>
  <colors>
    <mruColors>
      <color rgb="FFFF8A8A"/>
      <color rgb="FFFFFFAD"/>
      <color rgb="FFF2F207"/>
      <color rgb="FFB5B50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styles" Target="styles.xml"/><Relationship Id="rId12" Type="http://schemas.microsoft.com/office/2017/06/relationships/rdRichValueStructure" Target="richData/rdrichvaluestructure.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06/relationships/rdRichValue" Target="richData/rdrichvalue.xml"/><Relationship Id="rId5" Type="http://schemas.openxmlformats.org/officeDocument/2006/relationships/worksheet" Target="worksheets/sheet5.xml"/><Relationship Id="rId10"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sheetMetadata" Target="metadata.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baseline="0"/>
              <a:t>Test Report Overview</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3926768277531941E-2"/>
          <c:y val="0.26069606544533341"/>
          <c:w val="0.80114457608391088"/>
          <c:h val="0.61568243100087039"/>
        </c:manualLayout>
      </c:layout>
      <c:pie3DChart>
        <c:varyColors val="1"/>
        <c:ser>
          <c:idx val="0"/>
          <c:order val="0"/>
          <c:tx>
            <c:v>Testcase</c:v>
          </c:tx>
          <c:dPt>
            <c:idx val="0"/>
            <c:bubble3D val="0"/>
            <c:spPr>
              <a:solidFill>
                <a:srgbClr val="92D050"/>
              </a:solidFill>
              <a:ln>
                <a:noFill/>
              </a:ln>
              <a:effectLst/>
              <a:sp3d/>
            </c:spPr>
            <c:extLst>
              <c:ext xmlns:c16="http://schemas.microsoft.com/office/drawing/2014/chart" uri="{C3380CC4-5D6E-409C-BE32-E72D297353CC}">
                <c16:uniqueId val="{00000001-800A-4306-B586-FE2EA178F552}"/>
              </c:ext>
            </c:extLst>
          </c:dPt>
          <c:dPt>
            <c:idx val="1"/>
            <c:bubble3D val="0"/>
            <c:spPr>
              <a:solidFill>
                <a:srgbClr val="FF0000"/>
              </a:solidFill>
              <a:ln>
                <a:noFill/>
              </a:ln>
              <a:effectLst/>
              <a:sp3d/>
            </c:spPr>
            <c:extLst>
              <c:ext xmlns:c16="http://schemas.microsoft.com/office/drawing/2014/chart" uri="{C3380CC4-5D6E-409C-BE32-E72D297353CC}">
                <c16:uniqueId val="{00000003-800A-4306-B586-FE2EA178F552}"/>
              </c:ext>
            </c:extLst>
          </c:dPt>
          <c:dPt>
            <c:idx val="2"/>
            <c:bubble3D val="0"/>
            <c:spPr>
              <a:solidFill>
                <a:srgbClr val="FFFF00"/>
              </a:solidFill>
              <a:ln>
                <a:noFill/>
              </a:ln>
              <a:effectLst/>
              <a:sp3d/>
            </c:spPr>
            <c:extLst>
              <c:ext xmlns:c16="http://schemas.microsoft.com/office/drawing/2014/chart" uri="{C3380CC4-5D6E-409C-BE32-E72D297353CC}">
                <c16:uniqueId val="{00000005-800A-4306-B586-FE2EA178F552}"/>
              </c:ext>
            </c:extLst>
          </c:dPt>
          <c:dLbls>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solidFill>
                      <a:effectLst>
                        <a:outerShdw blurRad="50800" dist="50800" dir="5400000" algn="ctr" rotWithShape="0">
                          <a:schemeClr val="bg1"/>
                        </a:outerShdw>
                      </a:effectLst>
                      <a:latin typeface="+mn-lt"/>
                      <a:ea typeface="+mn-ea"/>
                      <a:cs typeface="+mn-cs"/>
                    </a:defRPr>
                  </a:pPr>
                  <a:endParaRPr lang="en-US"/>
                </a:p>
              </c:txPr>
              <c:dLblPos val="outEnd"/>
              <c:showLegendKey val="0"/>
              <c:showVal val="0"/>
              <c:showCatName val="0"/>
              <c:showSerName val="0"/>
              <c:showPercent val="1"/>
              <c:showBubbleSize val="0"/>
              <c:extLst>
                <c:ext xmlns:c16="http://schemas.microsoft.com/office/drawing/2014/chart" uri="{C3380CC4-5D6E-409C-BE32-E72D297353CC}">
                  <c16:uniqueId val="{00000001-800A-4306-B586-FE2EA178F55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VCU_Features_Test_Specification!$L$4:$N$4</c:f>
              <c:strCache>
                <c:ptCount val="3"/>
                <c:pt idx="0">
                  <c:v>Total Pass</c:v>
                </c:pt>
                <c:pt idx="1">
                  <c:v>Total Fail</c:v>
                </c:pt>
                <c:pt idx="2">
                  <c:v>Total Not Executed</c:v>
                </c:pt>
              </c:strCache>
            </c:strRef>
          </c:cat>
          <c:val>
            <c:numRef>
              <c:f>VCU_Features_Test_Specification!$L$5:$N$5</c:f>
              <c:numCache>
                <c:formatCode>General</c:formatCode>
                <c:ptCount val="3"/>
                <c:pt idx="0">
                  <c:v>201</c:v>
                </c:pt>
                <c:pt idx="1">
                  <c:v>0</c:v>
                </c:pt>
                <c:pt idx="2">
                  <c:v>16</c:v>
                </c:pt>
              </c:numCache>
            </c:numRef>
          </c:val>
          <c:extLst>
            <c:ext xmlns:c16="http://schemas.microsoft.com/office/drawing/2014/chart" uri="{C3380CC4-5D6E-409C-BE32-E72D297353CC}">
              <c16:uniqueId val="{0000000D-C042-45AE-BF6D-FF0838A61935}"/>
            </c:ext>
          </c:extLst>
        </c:ser>
        <c:dLbls>
          <c:dLblPos val="outEnd"/>
          <c:showLegendKey val="0"/>
          <c:showVal val="0"/>
          <c:showCatName val="0"/>
          <c:showSerName val="0"/>
          <c:showPercent val="1"/>
          <c:showBubbleSize val="0"/>
          <c:showLeaderLines val="1"/>
        </c:dLbls>
      </c:pie3DChart>
      <c:spPr>
        <a:solidFill>
          <a:schemeClr val="bg2">
            <a:lumMod val="90000"/>
          </a:schemeClr>
        </a:solidFill>
        <a:ln>
          <a:noFill/>
        </a:ln>
        <a:effectLst/>
      </c:spPr>
    </c:plotArea>
    <c:legend>
      <c:legendPos val="t"/>
      <c:overlay val="0"/>
      <c:spPr>
        <a:noFill/>
        <a:ln>
          <a:noFill/>
        </a:ln>
        <a:effectLst/>
      </c:spPr>
      <c:txPr>
        <a:bodyPr rot="0" spcFirstLastPara="1" vertOverflow="ellipsis" vert="horz" wrap="square" anchor="ctr" anchorCtr="1"/>
        <a:lstStyle/>
        <a:p>
          <a:pPr rtl="0">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Project Overview</a:t>
            </a:r>
          </a:p>
        </c:rich>
      </c:tx>
      <c:layout>
        <c:manualLayout>
          <c:xMode val="edge"/>
          <c:yMode val="edge"/>
          <c:x val="0.41462074041352209"/>
          <c:y val="2.361273531241813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cked"/>
        <c:varyColors val="0"/>
        <c:ser>
          <c:idx val="0"/>
          <c:order val="0"/>
          <c:spPr>
            <a:ln w="28575" cap="rnd">
              <a:solidFill>
                <a:srgbClr val="637CEF"/>
              </a:solidFill>
              <a:round/>
            </a:ln>
            <a:effectLst/>
          </c:spPr>
          <c:marker>
            <c:symbol val="circle"/>
            <c:size val="5"/>
            <c:spPr>
              <a:solidFill>
                <a:srgbClr val="00B050"/>
              </a:solidFill>
              <a:ln w="9525">
                <a:solidFill>
                  <a:srgbClr val="637CEF"/>
                </a:solidFill>
              </a:ln>
              <a:effectLst/>
            </c:spPr>
          </c:marker>
          <c:dPt>
            <c:idx val="0"/>
            <c:marker>
              <c:symbol val="circle"/>
              <c:size val="5"/>
              <c:spPr>
                <a:solidFill>
                  <a:schemeClr val="tx1"/>
                </a:solidFill>
                <a:ln w="9525">
                  <a:solidFill>
                    <a:srgbClr val="637CEF"/>
                  </a:solidFill>
                </a:ln>
                <a:effectLst/>
              </c:spPr>
            </c:marker>
            <c:bubble3D val="0"/>
            <c:spPr>
              <a:ln w="28575" cap="rnd">
                <a:solidFill>
                  <a:schemeClr val="tx2">
                    <a:lumMod val="50000"/>
                    <a:lumOff val="50000"/>
                  </a:schemeClr>
                </a:solidFill>
                <a:round/>
              </a:ln>
              <a:effectLst/>
            </c:spPr>
            <c:extLst>
              <c:ext xmlns:c16="http://schemas.microsoft.com/office/drawing/2014/chart" uri="{C3380CC4-5D6E-409C-BE32-E72D297353CC}">
                <c16:uniqueId val="{00000002-456B-4415-A6EE-409730974B46}"/>
              </c:ext>
            </c:extLst>
          </c:dPt>
          <c:dPt>
            <c:idx val="1"/>
            <c:marker>
              <c:symbol val="circle"/>
              <c:size val="5"/>
              <c:spPr>
                <a:solidFill>
                  <a:schemeClr val="bg2">
                    <a:lumMod val="50000"/>
                  </a:schemeClr>
                </a:solidFill>
                <a:ln w="9525">
                  <a:solidFill>
                    <a:srgbClr val="637CEF"/>
                  </a:solidFill>
                </a:ln>
                <a:effectLst/>
              </c:spPr>
            </c:marker>
            <c:bubble3D val="0"/>
            <c:extLst>
              <c:ext xmlns:c16="http://schemas.microsoft.com/office/drawing/2014/chart" uri="{C3380CC4-5D6E-409C-BE32-E72D297353CC}">
                <c16:uniqueId val="{00000000-DF10-4D09-A2E6-04A5B7134F66}"/>
              </c:ext>
            </c:extLst>
          </c:dPt>
          <c:dPt>
            <c:idx val="2"/>
            <c:marker>
              <c:symbol val="circle"/>
              <c:size val="5"/>
              <c:spPr>
                <a:solidFill>
                  <a:srgbClr val="00B050"/>
                </a:solidFill>
                <a:ln w="9525">
                  <a:solidFill>
                    <a:srgbClr val="637CEF"/>
                  </a:solidFill>
                </a:ln>
                <a:effectLst/>
              </c:spPr>
            </c:marker>
            <c:bubble3D val="0"/>
            <c:extLst>
              <c:ext xmlns:c16="http://schemas.microsoft.com/office/drawing/2014/chart" uri="{C3380CC4-5D6E-409C-BE32-E72D297353CC}">
                <c16:uniqueId val="{00000001-DF10-4D09-A2E6-04A5B7134F66}"/>
              </c:ext>
            </c:extLst>
          </c:dPt>
          <c:dPt>
            <c:idx val="3"/>
            <c:marker>
              <c:symbol val="circle"/>
              <c:size val="5"/>
              <c:spPr>
                <a:solidFill>
                  <a:srgbClr val="FF0000"/>
                </a:solidFill>
                <a:ln w="9525">
                  <a:solidFill>
                    <a:srgbClr val="637CEF"/>
                  </a:solidFill>
                </a:ln>
                <a:effectLst/>
              </c:spPr>
            </c:marker>
            <c:bubble3D val="0"/>
            <c:extLst>
              <c:ext xmlns:c16="http://schemas.microsoft.com/office/drawing/2014/chart" uri="{C3380CC4-5D6E-409C-BE32-E72D297353CC}">
                <c16:uniqueId val="{00000003-456B-4415-A6EE-409730974B46}"/>
              </c:ext>
            </c:extLst>
          </c:dPt>
          <c:dPt>
            <c:idx val="4"/>
            <c:marker>
              <c:symbol val="circle"/>
              <c:size val="5"/>
              <c:spPr>
                <a:solidFill>
                  <a:srgbClr val="FFFF00"/>
                </a:solidFill>
                <a:ln w="9525">
                  <a:solidFill>
                    <a:srgbClr val="637CEF"/>
                  </a:solidFill>
                </a:ln>
                <a:effectLst/>
              </c:spPr>
            </c:marker>
            <c:bubble3D val="0"/>
            <c:extLst>
              <c:ext xmlns:c16="http://schemas.microsoft.com/office/drawing/2014/chart" uri="{C3380CC4-5D6E-409C-BE32-E72D297353CC}">
                <c16:uniqueId val="{00000004-456B-4415-A6EE-409730974B46}"/>
              </c:ext>
            </c:extLst>
          </c:dPt>
          <c:dLbls>
            <c:dLbl>
              <c:idx val="3"/>
              <c:layout>
                <c:manualLayout>
                  <c:x val="-8.1737617430902802E-3"/>
                  <c:y val="-2.94975049368680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56B-4415-A6EE-409730974B46}"/>
                </c:ext>
              </c:extLst>
            </c:dLbl>
            <c:dLbl>
              <c:idx val="4"/>
              <c:layout>
                <c:manualLayout>
                  <c:x val="-3.4917038928075544E-2"/>
                  <c:y val="-3.224315312682301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56B-4415-A6EE-409730974B4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VCU_Features_Test_Specification!$J$4:$N$4</c:f>
              <c:strCache>
                <c:ptCount val="5"/>
                <c:pt idx="0">
                  <c:v>Total No of Requirements</c:v>
                </c:pt>
                <c:pt idx="1">
                  <c:v>Total No of test cases</c:v>
                </c:pt>
                <c:pt idx="2">
                  <c:v>Total Pass</c:v>
                </c:pt>
                <c:pt idx="3">
                  <c:v>Total Fail</c:v>
                </c:pt>
                <c:pt idx="4">
                  <c:v>Total Not Executed</c:v>
                </c:pt>
              </c:strCache>
            </c:strRef>
          </c:cat>
          <c:val>
            <c:numRef>
              <c:f>VCU_Features_Test_Specification!$J$5:$N$5</c:f>
              <c:numCache>
                <c:formatCode>General</c:formatCode>
                <c:ptCount val="5"/>
                <c:pt idx="0">
                  <c:v>44</c:v>
                </c:pt>
                <c:pt idx="1">
                  <c:v>217</c:v>
                </c:pt>
                <c:pt idx="2">
                  <c:v>201</c:v>
                </c:pt>
                <c:pt idx="3">
                  <c:v>0</c:v>
                </c:pt>
                <c:pt idx="4">
                  <c:v>16</c:v>
                </c:pt>
              </c:numCache>
            </c:numRef>
          </c:val>
          <c:smooth val="0"/>
          <c:extLst>
            <c:ext xmlns:c16="http://schemas.microsoft.com/office/drawing/2014/chart" uri="{C3380CC4-5D6E-409C-BE32-E72D297353CC}">
              <c16:uniqueId val="{00000002-DF10-4D09-A2E6-04A5B7134F66}"/>
            </c:ext>
          </c:extLst>
        </c:ser>
        <c:dLbls>
          <c:dLblPos val="b"/>
          <c:showLegendKey val="0"/>
          <c:showVal val="1"/>
          <c:showCatName val="0"/>
          <c:showSerName val="0"/>
          <c:showPercent val="0"/>
          <c:showBubbleSize val="0"/>
        </c:dLbls>
        <c:marker val="1"/>
        <c:smooth val="0"/>
        <c:axId val="563559944"/>
        <c:axId val="884904456"/>
      </c:lineChart>
      <c:catAx>
        <c:axId val="563559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4904456"/>
        <c:crosses val="autoZero"/>
        <c:auto val="1"/>
        <c:lblAlgn val="ctr"/>
        <c:lblOffset val="100"/>
        <c:noMultiLvlLbl val="0"/>
      </c:catAx>
      <c:valAx>
        <c:axId val="884904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3559944"/>
        <c:crosses val="autoZero"/>
        <c:crossBetween val="between"/>
      </c:valAx>
      <c:spPr>
        <a:noFill/>
        <a:ln>
          <a:noFill/>
        </a:ln>
        <a:effectLst/>
      </c:spPr>
    </c:plotArea>
    <c:legend>
      <c:legendPos val="b"/>
      <c:layout>
        <c:manualLayout>
          <c:xMode val="edge"/>
          <c:yMode val="edge"/>
          <c:x val="8.3359989420615802E-2"/>
          <c:y val="0.84718402261451731"/>
          <c:w val="0.86248832099231554"/>
          <c:h val="0.1288449917155392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style1.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28575</xdr:colOff>
      <xdr:row>5</xdr:row>
      <xdr:rowOff>57150</xdr:rowOff>
    </xdr:from>
    <xdr:to>
      <xdr:col>11</xdr:col>
      <xdr:colOff>828675</xdr:colOff>
      <xdr:row>25</xdr:row>
      <xdr:rowOff>9525</xdr:rowOff>
    </xdr:to>
    <xdr:graphicFrame macro="">
      <xdr:nvGraphicFramePr>
        <xdr:cNvPr id="5" name="Chart 2">
          <a:extLst>
            <a:ext uri="{FF2B5EF4-FFF2-40B4-BE49-F238E27FC236}">
              <a16:creationId xmlns:a16="http://schemas.microsoft.com/office/drawing/2014/main" id="{296CAEA4-CA48-4B13-945F-48456F654D8D}"/>
            </a:ext>
            <a:ext uri="{147F2762-F138-4A5C-976F-8EAC2B608ADB}">
              <a16:predDERef xmlns:a16="http://schemas.microsoft.com/office/drawing/2014/main" pred="{499CB2F1-765A-5C66-8E0F-C927DD6789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28574</xdr:colOff>
      <xdr:row>5</xdr:row>
      <xdr:rowOff>43614</xdr:rowOff>
    </xdr:from>
    <xdr:to>
      <xdr:col>19</xdr:col>
      <xdr:colOff>353427</xdr:colOff>
      <xdr:row>24</xdr:row>
      <xdr:rowOff>150394</xdr:rowOff>
    </xdr:to>
    <xdr:graphicFrame macro="">
      <xdr:nvGraphicFramePr>
        <xdr:cNvPr id="2" name="Chart 1">
          <a:extLst>
            <a:ext uri="{FF2B5EF4-FFF2-40B4-BE49-F238E27FC236}">
              <a16:creationId xmlns:a16="http://schemas.microsoft.com/office/drawing/2014/main" id="{51C203B7-A7F0-F7ED-3FA1-A25EDEDC9549}"/>
            </a:ext>
            <a:ext uri="{147F2762-F138-4A5C-976F-8EAC2B608ADB}">
              <a16:predDERef xmlns:a16="http://schemas.microsoft.com/office/drawing/2014/main" pred="{296CAEA4-CA48-4B13-945F-48456F654D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tvshosur.sharepoint.com/sites/VehicleElectrificationSWTeam/Shared%20Documents/Forms/AllItems.aspx?id=%2Fsites%2FVehicleElectrificationSWTeam%2FShared%20Documents%2FProject%20Documents%2F1%2DPlatforms%2FDiagnostics%20Checklist%2FECO%5FDBC%5FFILES&amp;viewid=b0c83e34%2D3d3c%2D496a%2D8043%2Df0c8e1d91f27&amp;p=true&amp;ct=1755841157668&amp;or=Teams%2DHL&amp;ga=1&amp;LOF=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V23"/>
  <sheetViews>
    <sheetView showGridLines="0" topLeftCell="C4" zoomScale="76" workbookViewId="0">
      <selection activeCell="F17" sqref="F17"/>
    </sheetView>
  </sheetViews>
  <sheetFormatPr defaultRowHeight="13.9"/>
  <cols>
    <col min="1" max="1" width="0" hidden="1" customWidth="1"/>
    <col min="2" max="2" width="18.140625" customWidth="1"/>
    <col min="3" max="3" width="3.85546875" customWidth="1"/>
    <col min="4" max="4" width="4.85546875" customWidth="1"/>
    <col min="5" max="5" width="34.42578125" customWidth="1"/>
    <col min="6" max="6" width="46.42578125" customWidth="1"/>
    <col min="7" max="7" width="14.140625" customWidth="1"/>
    <col min="8" max="8" width="9.140625" customWidth="1"/>
    <col min="9" max="9" width="16.140625" customWidth="1"/>
    <col min="10" max="10" width="26.5703125" customWidth="1"/>
    <col min="12" max="12" width="14.28515625" customWidth="1"/>
    <col min="13" max="13" width="9.7109375" customWidth="1"/>
    <col min="14" max="22" width="9.140625" customWidth="1"/>
  </cols>
  <sheetData>
    <row r="1" spans="1:22" ht="15" customHeight="1">
      <c r="A1" s="193" t="e" vm="1">
        <v>#VALUE!</v>
      </c>
      <c r="B1" s="193"/>
      <c r="C1" s="194" t="s">
        <v>0</v>
      </c>
      <c r="D1" s="194"/>
      <c r="E1" s="194"/>
      <c r="F1" s="194"/>
      <c r="G1" s="194"/>
      <c r="H1" s="194"/>
      <c r="I1" s="194"/>
      <c r="J1" s="194"/>
      <c r="K1" s="194"/>
      <c r="L1" s="194"/>
      <c r="M1" s="194"/>
      <c r="N1" s="194"/>
      <c r="O1" s="194"/>
      <c r="P1" s="194"/>
      <c r="Q1" s="194"/>
      <c r="R1" s="194"/>
      <c r="S1" s="194"/>
      <c r="T1" s="194"/>
      <c r="U1" s="194"/>
      <c r="V1" s="195"/>
    </row>
    <row r="2" spans="1:22" ht="15" customHeight="1">
      <c r="A2" s="193"/>
      <c r="B2" s="193"/>
      <c r="C2" s="196"/>
      <c r="D2" s="196"/>
      <c r="E2" s="196"/>
      <c r="F2" s="196"/>
      <c r="G2" s="196"/>
      <c r="H2" s="196"/>
      <c r="I2" s="196"/>
      <c r="J2" s="196"/>
      <c r="K2" s="196"/>
      <c r="L2" s="196"/>
      <c r="M2" s="196"/>
      <c r="N2" s="196"/>
      <c r="O2" s="196"/>
      <c r="P2" s="196"/>
      <c r="Q2" s="196"/>
      <c r="R2" s="196"/>
      <c r="S2" s="196"/>
      <c r="T2" s="196"/>
      <c r="U2" s="196"/>
      <c r="V2" s="197"/>
    </row>
    <row r="3" spans="1:22" ht="15" customHeight="1">
      <c r="A3" s="193"/>
      <c r="B3" s="193"/>
      <c r="C3" s="198"/>
      <c r="D3" s="196"/>
      <c r="E3" s="196"/>
      <c r="F3" s="196"/>
      <c r="G3" s="196"/>
      <c r="H3" s="198"/>
      <c r="I3" s="198"/>
      <c r="J3" s="198"/>
      <c r="K3" s="198"/>
      <c r="L3" s="198"/>
      <c r="M3" s="198"/>
      <c r="N3" s="198"/>
      <c r="O3" s="198"/>
      <c r="P3" s="198"/>
      <c r="Q3" s="198"/>
      <c r="R3" s="198"/>
      <c r="S3" s="198"/>
      <c r="T3" s="198"/>
      <c r="U3" s="198"/>
      <c r="V3" s="199"/>
    </row>
    <row r="7" spans="1:22">
      <c r="E7" s="191" t="s">
        <v>1</v>
      </c>
      <c r="F7" s="192"/>
    </row>
    <row r="8" spans="1:22" ht="18.75" customHeight="1">
      <c r="E8" s="40" t="s">
        <v>2</v>
      </c>
      <c r="F8" s="44" t="s">
        <v>3</v>
      </c>
    </row>
    <row r="9" spans="1:22" ht="13.5" customHeight="1">
      <c r="E9" s="41" t="s">
        <v>4</v>
      </c>
      <c r="F9" s="44" t="s">
        <v>5</v>
      </c>
    </row>
    <row r="10" spans="1:22" ht="15" customHeight="1">
      <c r="E10" s="41" t="s">
        <v>6</v>
      </c>
      <c r="F10" s="44" t="s">
        <v>7</v>
      </c>
    </row>
    <row r="11" spans="1:22" ht="15.75">
      <c r="E11" s="42" t="s">
        <v>8</v>
      </c>
      <c r="F11" s="115" t="s">
        <v>9</v>
      </c>
    </row>
    <row r="12" spans="1:22" ht="15">
      <c r="E12" s="42" t="s">
        <v>10</v>
      </c>
      <c r="F12" s="44" t="s">
        <v>11</v>
      </c>
    </row>
    <row r="13" spans="1:22" ht="15">
      <c r="E13" s="42" t="s">
        <v>12</v>
      </c>
      <c r="F13" s="44" t="s">
        <v>13</v>
      </c>
    </row>
    <row r="14" spans="1:22" ht="15">
      <c r="E14" s="42" t="s">
        <v>14</v>
      </c>
      <c r="F14" s="116" t="s">
        <v>15</v>
      </c>
    </row>
    <row r="15" spans="1:22" ht="15">
      <c r="E15" s="42" t="s">
        <v>16</v>
      </c>
      <c r="F15" s="44" t="s">
        <v>17</v>
      </c>
    </row>
    <row r="16" spans="1:22" ht="15">
      <c r="E16" s="42" t="s">
        <v>18</v>
      </c>
      <c r="F16" s="44" t="s">
        <v>19</v>
      </c>
    </row>
    <row r="17" spans="5:7" ht="15">
      <c r="E17" s="43" t="s">
        <v>20</v>
      </c>
      <c r="F17" s="117"/>
    </row>
    <row r="18" spans="5:7" ht="15">
      <c r="E18" s="167" t="s">
        <v>21</v>
      </c>
      <c r="F18" s="168" t="s">
        <v>22</v>
      </c>
    </row>
    <row r="19" spans="5:7" ht="15">
      <c r="E19" s="93" t="s">
        <v>23</v>
      </c>
      <c r="F19" s="169"/>
    </row>
    <row r="20" spans="5:7" ht="15"/>
    <row r="21" spans="5:7">
      <c r="E21" s="87"/>
      <c r="F21" s="88" t="s">
        <v>24</v>
      </c>
      <c r="G21" s="89" t="s">
        <v>25</v>
      </c>
    </row>
    <row r="22" spans="5:7">
      <c r="E22" s="90" t="s">
        <v>26</v>
      </c>
      <c r="F22" s="1" t="s">
        <v>15</v>
      </c>
      <c r="G22" s="91"/>
    </row>
    <row r="23" spans="5:7">
      <c r="E23" s="92" t="s">
        <v>27</v>
      </c>
      <c r="F23" s="93" t="s">
        <v>13</v>
      </c>
      <c r="G23" s="94"/>
    </row>
  </sheetData>
  <mergeCells count="3">
    <mergeCell ref="E7:F7"/>
    <mergeCell ref="A1:B3"/>
    <mergeCell ref="C1:V3"/>
  </mergeCells>
  <hyperlinks>
    <hyperlink ref="F18" r:id="rId1" xr:uid="{8B01A018-783E-4DB9-B878-FE032FE21DFC}"/>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0DBF5-8F47-41FE-952C-3B506868EFC9}">
  <sheetPr codeName="Sheet2"/>
  <dimension ref="A1:P10"/>
  <sheetViews>
    <sheetView workbookViewId="0">
      <selection activeCell="G10" sqref="G10"/>
    </sheetView>
  </sheetViews>
  <sheetFormatPr defaultRowHeight="13.9"/>
  <cols>
    <col min="3" max="3" width="14.5703125" customWidth="1"/>
    <col min="4" max="4" width="10.140625" bestFit="1" customWidth="1"/>
    <col min="6" max="6" width="32.85546875" customWidth="1"/>
    <col min="7" max="7" width="19.42578125" customWidth="1"/>
    <col min="8" max="8" width="14.85546875" customWidth="1"/>
  </cols>
  <sheetData>
    <row r="1" spans="1:16">
      <c r="A1" s="200" t="s">
        <v>28</v>
      </c>
      <c r="B1" s="200"/>
      <c r="C1" s="200"/>
      <c r="D1" s="200"/>
      <c r="E1" s="200"/>
      <c r="F1" s="200"/>
      <c r="G1" s="200"/>
      <c r="H1" s="200"/>
      <c r="I1" s="200"/>
      <c r="J1" s="200"/>
      <c r="K1" s="200"/>
      <c r="L1" s="200"/>
      <c r="M1" s="200"/>
      <c r="N1" s="200"/>
      <c r="O1" s="200"/>
      <c r="P1" s="2"/>
    </row>
    <row r="3" spans="1:16">
      <c r="C3" s="1" t="s">
        <v>29</v>
      </c>
      <c r="D3" s="201"/>
      <c r="E3" s="201"/>
      <c r="F3" s="201"/>
      <c r="G3" s="201"/>
    </row>
    <row r="4" spans="1:16">
      <c r="D4" s="3"/>
      <c r="E4" s="4"/>
      <c r="F4" s="4"/>
      <c r="G4" s="4"/>
    </row>
    <row r="5" spans="1:16" ht="15.6">
      <c r="C5" s="202" t="s">
        <v>30</v>
      </c>
      <c r="D5" s="203"/>
      <c r="E5" s="203"/>
      <c r="F5" s="203"/>
      <c r="G5" s="204"/>
    </row>
    <row r="6" spans="1:16">
      <c r="C6" s="2"/>
      <c r="D6" s="2"/>
      <c r="E6" s="2"/>
      <c r="F6" s="2"/>
      <c r="G6" s="2"/>
    </row>
    <row r="7" spans="1:16" ht="14.45">
      <c r="C7" s="5" t="s">
        <v>31</v>
      </c>
      <c r="D7" s="6" t="s">
        <v>25</v>
      </c>
      <c r="E7" s="6" t="s">
        <v>32</v>
      </c>
      <c r="F7" s="6" t="s">
        <v>33</v>
      </c>
      <c r="G7" s="6" t="s">
        <v>34</v>
      </c>
    </row>
    <row r="8" spans="1:16" ht="14.45">
      <c r="C8" s="7">
        <v>1</v>
      </c>
      <c r="D8" s="8">
        <v>45967</v>
      </c>
      <c r="E8" s="9">
        <v>1</v>
      </c>
      <c r="F8" s="10" t="s">
        <v>15</v>
      </c>
      <c r="G8" s="11"/>
    </row>
    <row r="9" spans="1:16" ht="14.45">
      <c r="C9" s="7"/>
      <c r="D9" s="8"/>
      <c r="E9" s="9"/>
      <c r="F9" s="10"/>
      <c r="G9" s="11"/>
    </row>
    <row r="10" spans="1:16" ht="14.45">
      <c r="C10" s="7"/>
      <c r="D10" s="8"/>
      <c r="E10" s="9"/>
      <c r="F10" s="10"/>
      <c r="G10" s="11"/>
    </row>
  </sheetData>
  <mergeCells count="3">
    <mergeCell ref="A1:O1"/>
    <mergeCell ref="D3:G3"/>
    <mergeCell ref="C5:G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7D56FC-EA03-4E01-9B92-C6C1F3C183CD}">
  <sheetPr codeName="Sheet3"/>
  <dimension ref="A1:AY782"/>
  <sheetViews>
    <sheetView tabSelected="1" zoomScale="68" workbookViewId="0">
      <pane ySplit="10" topLeftCell="A437" activePane="bottomLeft" state="frozen"/>
      <selection pane="bottomLeft" activeCell="D444" sqref="B444:D444"/>
    </sheetView>
  </sheetViews>
  <sheetFormatPr defaultColWidth="9.140625" defaultRowHeight="15.75"/>
  <cols>
    <col min="1" max="1" width="9.140625" style="16"/>
    <col min="2" max="2" width="17.140625" style="16" customWidth="1"/>
    <col min="3" max="3" width="18.140625" style="16" customWidth="1"/>
    <col min="4" max="4" width="21" style="16" customWidth="1"/>
    <col min="5" max="5" width="34.85546875" style="15" customWidth="1"/>
    <col min="6" max="6" width="16.85546875" style="16" customWidth="1"/>
    <col min="7" max="7" width="35.85546875" style="37" customWidth="1"/>
    <col min="8" max="8" width="34.7109375" style="15" customWidth="1"/>
    <col min="9" max="9" width="24.5703125" style="15" customWidth="1"/>
    <col min="10" max="10" width="25.42578125" style="16" customWidth="1"/>
    <col min="11" max="11" width="45.140625" style="15" customWidth="1"/>
    <col min="12" max="12" width="44" style="16" customWidth="1"/>
    <col min="13" max="13" width="16.5703125" style="114" customWidth="1"/>
    <col min="14" max="14" width="18.5703125" style="16" customWidth="1"/>
    <col min="15" max="15" width="18.85546875" style="13" customWidth="1"/>
    <col min="16" max="16384" width="9.140625" style="16"/>
  </cols>
  <sheetData>
    <row r="1" spans="1:51">
      <c r="A1" s="222" t="s">
        <v>35</v>
      </c>
      <c r="B1" s="223"/>
      <c r="C1" s="223"/>
      <c r="D1" s="223"/>
      <c r="E1" s="224"/>
      <c r="F1" s="225">
        <v>4</v>
      </c>
      <c r="G1" s="206"/>
      <c r="H1" s="205"/>
      <c r="I1" s="205"/>
      <c r="J1" s="73"/>
      <c r="K1" s="73"/>
      <c r="L1" s="73"/>
      <c r="M1" s="104"/>
      <c r="N1" s="172"/>
      <c r="O1" s="176"/>
    </row>
    <row r="2" spans="1:51">
      <c r="A2" s="222" t="s">
        <v>36</v>
      </c>
      <c r="B2" s="223"/>
      <c r="C2" s="223"/>
      <c r="D2" s="223"/>
      <c r="E2" s="224"/>
      <c r="F2" s="225">
        <v>3</v>
      </c>
      <c r="G2" s="206"/>
      <c r="H2" s="205"/>
      <c r="I2" s="205"/>
      <c r="J2" s="73"/>
      <c r="K2" s="73"/>
      <c r="L2" s="73"/>
      <c r="M2" s="104"/>
      <c r="N2" s="172"/>
      <c r="O2" s="176"/>
    </row>
    <row r="3" spans="1:51">
      <c r="A3" s="213" t="s">
        <v>37</v>
      </c>
      <c r="B3" s="214"/>
      <c r="C3" s="214"/>
      <c r="D3" s="214"/>
      <c r="E3" s="215"/>
      <c r="F3" s="225" cm="1">
        <f t="array" ref="F3">COUNTA(_xlfn.UNIQUE(_xlfn._xlws.FILTER(D11:D961, D11:D961&lt;&gt;"")))</f>
        <v>44</v>
      </c>
      <c r="G3" s="206"/>
      <c r="H3" s="205"/>
      <c r="I3" s="205"/>
      <c r="J3" s="73"/>
      <c r="K3" s="73"/>
      <c r="L3" s="73"/>
      <c r="M3" s="104"/>
      <c r="N3" s="172"/>
      <c r="O3" s="176"/>
    </row>
    <row r="4" spans="1:51">
      <c r="A4" s="213" t="s">
        <v>38</v>
      </c>
      <c r="B4" s="214"/>
      <c r="C4" s="214"/>
      <c r="D4" s="214"/>
      <c r="E4" s="215"/>
      <c r="F4" s="205">
        <f>SUMIFS(H11:H461, B11:B461, B10)</f>
        <v>0</v>
      </c>
      <c r="G4" s="206"/>
      <c r="H4" s="205"/>
      <c r="I4" s="205"/>
      <c r="J4" s="101" t="s">
        <v>39</v>
      </c>
      <c r="K4" s="101" t="s">
        <v>40</v>
      </c>
      <c r="L4" s="102" t="s">
        <v>41</v>
      </c>
      <c r="M4" s="144" t="s">
        <v>42</v>
      </c>
      <c r="N4" s="173" t="s">
        <v>43</v>
      </c>
      <c r="O4" s="99"/>
    </row>
    <row r="5" spans="1:51" ht="16.5">
      <c r="A5" s="207" t="s">
        <v>44</v>
      </c>
      <c r="B5" s="208"/>
      <c r="C5" s="208"/>
      <c r="D5" s="208"/>
      <c r="E5" s="209"/>
      <c r="F5" s="75" t="s">
        <v>45</v>
      </c>
      <c r="G5" s="95" t="s">
        <v>46</v>
      </c>
      <c r="H5" s="23" t="s">
        <v>47</v>
      </c>
      <c r="I5" s="23"/>
      <c r="J5" s="95" cm="1">
        <f t="array" ref="J5">COUNTA(_xlfn.UNIQUE(_xlfn._xlws.FILTER(D11:D961, D11:D961&lt;&gt;"")))</f>
        <v>44</v>
      </c>
      <c r="K5" s="23">
        <f>COUNT(A11:A229)</f>
        <v>217</v>
      </c>
      <c r="L5" s="99">
        <f ca="1">COUNTIF(M8:INDEX(O:O,COUNTA(C:C)+10),"Pass")</f>
        <v>201</v>
      </c>
      <c r="M5" s="98">
        <f ca="1">COUNTIF(M8:INDEX(O:O,COUNTA(C:C)+10),"Fail")</f>
        <v>0</v>
      </c>
      <c r="N5" s="97">
        <f ca="1">COUNTIF(M8:INDEX(O:O,COUNTA(C:C)+10),"Not Executed")</f>
        <v>16</v>
      </c>
      <c r="O5" s="99"/>
    </row>
    <row r="6" spans="1:51">
      <c r="A6" s="210"/>
      <c r="B6" s="211"/>
      <c r="C6" s="211"/>
      <c r="D6" s="211"/>
      <c r="E6" s="212"/>
      <c r="F6" s="24"/>
      <c r="G6" s="177"/>
      <c r="H6" s="25"/>
      <c r="I6" s="26"/>
      <c r="J6" s="26"/>
      <c r="K6" s="26"/>
      <c r="L6" s="26"/>
      <c r="M6" s="107"/>
      <c r="N6" s="174"/>
      <c r="O6" s="176"/>
    </row>
    <row r="7" spans="1:51">
      <c r="A7" s="213" t="s">
        <v>48</v>
      </c>
      <c r="B7" s="214"/>
      <c r="C7" s="214"/>
      <c r="D7" s="214"/>
      <c r="E7" s="215"/>
      <c r="F7" s="27"/>
      <c r="G7" s="178"/>
      <c r="H7" s="27"/>
      <c r="I7" s="27"/>
      <c r="J7" s="27"/>
      <c r="K7" s="27"/>
      <c r="L7" s="27"/>
      <c r="M7" s="72"/>
      <c r="N7" s="174"/>
      <c r="O7" s="176"/>
    </row>
    <row r="8" spans="1:51">
      <c r="A8" s="216" t="s">
        <v>49</v>
      </c>
      <c r="B8" s="217"/>
      <c r="C8" s="217"/>
      <c r="D8" s="217"/>
      <c r="E8" s="218"/>
      <c r="F8" s="29"/>
      <c r="G8" s="179"/>
      <c r="H8" s="31"/>
      <c r="I8" s="32"/>
      <c r="J8" s="33"/>
      <c r="K8" s="32"/>
      <c r="L8" s="33"/>
      <c r="M8" s="108"/>
      <c r="N8" s="174"/>
      <c r="O8" s="176"/>
    </row>
    <row r="9" spans="1:51">
      <c r="A9" s="219" t="s">
        <v>50</v>
      </c>
      <c r="B9" s="220"/>
      <c r="C9" s="220"/>
      <c r="D9" s="220"/>
      <c r="E9" s="221"/>
      <c r="F9" s="34"/>
      <c r="G9" s="180"/>
      <c r="H9" s="36"/>
      <c r="I9" s="36"/>
      <c r="J9" s="35"/>
      <c r="K9" s="36"/>
      <c r="L9" s="35"/>
      <c r="M9" s="109"/>
      <c r="N9" s="174"/>
      <c r="O9" s="176"/>
    </row>
    <row r="10" spans="1:51" s="15" customFormat="1" ht="32.25">
      <c r="A10" s="79" t="s">
        <v>51</v>
      </c>
      <c r="B10" s="81" t="s">
        <v>52</v>
      </c>
      <c r="C10" s="85" t="s">
        <v>53</v>
      </c>
      <c r="D10" s="85" t="s">
        <v>54</v>
      </c>
      <c r="E10" s="86" t="s">
        <v>55</v>
      </c>
      <c r="F10" s="78" t="s">
        <v>56</v>
      </c>
      <c r="G10" s="20" t="s">
        <v>57</v>
      </c>
      <c r="H10" s="20" t="s">
        <v>58</v>
      </c>
      <c r="I10" s="77" t="s">
        <v>59</v>
      </c>
      <c r="J10" s="77" t="s">
        <v>60</v>
      </c>
      <c r="K10" s="77" t="s">
        <v>61</v>
      </c>
      <c r="L10" s="77" t="s">
        <v>62</v>
      </c>
      <c r="M10" s="110" t="s">
        <v>63</v>
      </c>
      <c r="N10" s="175" t="s">
        <v>64</v>
      </c>
      <c r="O10" s="78" t="s">
        <v>65</v>
      </c>
    </row>
    <row r="11" spans="1:51" ht="141.75" customHeight="1">
      <c r="A11" s="49">
        <v>1</v>
      </c>
      <c r="B11" s="14" t="s">
        <v>9</v>
      </c>
      <c r="C11" s="50" t="s">
        <v>66</v>
      </c>
      <c r="D11" s="51">
        <v>49024</v>
      </c>
      <c r="E11" s="17" t="s">
        <v>67</v>
      </c>
      <c r="F11" s="52" t="str">
        <f>"T_" &amp; D11 &amp; "_" &amp; COUNTIF($D$11:D11, D11)</f>
        <v>T_49024_1</v>
      </c>
      <c r="G11" s="12" t="s">
        <v>68</v>
      </c>
      <c r="H11" s="12" t="s">
        <v>69</v>
      </c>
      <c r="I11" s="13" t="s">
        <v>70</v>
      </c>
      <c r="J11" s="13" t="s">
        <v>71</v>
      </c>
      <c r="K11" s="13" t="s">
        <v>72</v>
      </c>
      <c r="L11" s="13" t="s">
        <v>73</v>
      </c>
      <c r="M11" s="111" t="s">
        <v>74</v>
      </c>
      <c r="N11" s="45"/>
      <c r="P11" s="15"/>
      <c r="Q11" s="15"/>
      <c r="R11" s="15"/>
      <c r="S11" s="15"/>
      <c r="T11" s="15"/>
      <c r="U11" s="15"/>
      <c r="V11" s="15"/>
      <c r="W11" s="15"/>
      <c r="X11" s="15"/>
      <c r="Y11" s="15"/>
      <c r="Z11" s="15"/>
      <c r="AA11" s="15"/>
      <c r="AB11" s="15"/>
      <c r="AC11" s="15"/>
      <c r="AD11" s="15"/>
      <c r="AE11" s="15"/>
      <c r="AF11" s="15"/>
      <c r="AG11" s="15"/>
      <c r="AH11" s="15"/>
      <c r="AI11" s="15"/>
      <c r="AJ11" s="15"/>
      <c r="AK11" s="15"/>
      <c r="AL11" s="15"/>
      <c r="AM11" s="15"/>
      <c r="AN11" s="15"/>
      <c r="AO11" s="15"/>
      <c r="AP11" s="15"/>
      <c r="AQ11" s="15"/>
      <c r="AR11" s="15"/>
      <c r="AS11" s="15"/>
      <c r="AT11" s="15"/>
      <c r="AU11" s="15"/>
      <c r="AV11" s="15"/>
      <c r="AW11" s="15"/>
      <c r="AX11" s="15"/>
      <c r="AY11" s="15"/>
    </row>
    <row r="12" spans="1:51" ht="81">
      <c r="A12" s="49">
        <v>2</v>
      </c>
      <c r="B12" s="14" t="s">
        <v>9</v>
      </c>
      <c r="C12" s="50" t="s">
        <v>66</v>
      </c>
      <c r="D12" s="51">
        <v>49025</v>
      </c>
      <c r="E12" s="17" t="s">
        <v>75</v>
      </c>
      <c r="F12" s="52" t="str">
        <f>"T_" &amp; D12 &amp; "_" &amp; COUNTIF($D$11:D12, D12)</f>
        <v>T_49025_1</v>
      </c>
      <c r="G12" s="12" t="s">
        <v>76</v>
      </c>
      <c r="H12" s="12" t="s">
        <v>77</v>
      </c>
      <c r="I12" s="13" t="s">
        <v>70</v>
      </c>
      <c r="J12" s="13" t="s">
        <v>71</v>
      </c>
      <c r="K12" s="13" t="s">
        <v>78</v>
      </c>
      <c r="L12" s="13" t="s">
        <v>79</v>
      </c>
      <c r="M12" s="111" t="s">
        <v>74</v>
      </c>
      <c r="N12" s="45"/>
      <c r="P12" s="15"/>
      <c r="Q12" s="15"/>
      <c r="R12" s="15"/>
      <c r="S12" s="15"/>
      <c r="T12" s="15"/>
      <c r="U12" s="15"/>
      <c r="V12" s="15"/>
      <c r="W12" s="15"/>
      <c r="X12" s="15"/>
      <c r="Y12" s="15"/>
      <c r="Z12" s="15"/>
      <c r="AA12" s="15"/>
      <c r="AB12" s="15"/>
      <c r="AC12" s="15"/>
      <c r="AD12" s="15"/>
      <c r="AE12" s="15"/>
      <c r="AF12" s="15"/>
      <c r="AG12" s="15"/>
      <c r="AH12" s="15"/>
      <c r="AI12" s="15"/>
      <c r="AJ12" s="15"/>
      <c r="AK12" s="15"/>
      <c r="AL12" s="15"/>
      <c r="AM12" s="15"/>
      <c r="AN12" s="15"/>
      <c r="AO12" s="15"/>
      <c r="AP12" s="15"/>
      <c r="AQ12" s="15"/>
      <c r="AR12" s="15"/>
      <c r="AS12" s="15"/>
      <c r="AT12" s="15"/>
      <c r="AU12" s="15"/>
      <c r="AV12" s="15"/>
      <c r="AW12" s="15"/>
      <c r="AX12" s="15"/>
      <c r="AY12" s="15"/>
    </row>
    <row r="13" spans="1:51" ht="81">
      <c r="A13" s="49">
        <v>3</v>
      </c>
      <c r="B13" s="53" t="s">
        <v>9</v>
      </c>
      <c r="C13" s="50" t="s">
        <v>66</v>
      </c>
      <c r="D13" s="51">
        <v>49026</v>
      </c>
      <c r="E13" s="17" t="s">
        <v>80</v>
      </c>
      <c r="F13" s="52" t="str">
        <f>"T_" &amp; D13 &amp; "_" &amp; COUNTIF($D$11:D13, D13)</f>
        <v>T_49026_1</v>
      </c>
      <c r="G13" s="12" t="s">
        <v>81</v>
      </c>
      <c r="H13" s="12" t="s">
        <v>82</v>
      </c>
      <c r="I13" s="13" t="s">
        <v>70</v>
      </c>
      <c r="J13" s="13" t="s">
        <v>71</v>
      </c>
      <c r="K13" s="13" t="s">
        <v>83</v>
      </c>
      <c r="L13" s="13" t="s">
        <v>84</v>
      </c>
      <c r="M13" s="111" t="s">
        <v>74</v>
      </c>
      <c r="N13" s="45"/>
      <c r="P13" s="15"/>
      <c r="Q13" s="15"/>
      <c r="R13" s="15"/>
      <c r="S13" s="15"/>
      <c r="T13" s="15"/>
      <c r="U13" s="15"/>
      <c r="V13" s="15"/>
      <c r="W13" s="15"/>
      <c r="X13" s="15"/>
      <c r="Y13" s="15"/>
      <c r="Z13" s="15"/>
      <c r="AA13" s="15"/>
      <c r="AB13" s="15"/>
      <c r="AC13" s="15"/>
      <c r="AD13" s="15"/>
      <c r="AE13" s="15"/>
      <c r="AF13" s="15"/>
      <c r="AG13" s="15"/>
      <c r="AH13" s="15"/>
      <c r="AI13" s="15"/>
      <c r="AJ13" s="15"/>
      <c r="AK13" s="15"/>
      <c r="AL13" s="15"/>
      <c r="AM13" s="15"/>
      <c r="AN13" s="15"/>
      <c r="AO13" s="15"/>
      <c r="AP13" s="15"/>
      <c r="AQ13" s="15"/>
      <c r="AR13" s="15"/>
      <c r="AS13" s="15"/>
      <c r="AT13" s="15"/>
      <c r="AU13" s="15"/>
      <c r="AV13" s="15"/>
      <c r="AW13" s="15"/>
      <c r="AX13" s="15"/>
      <c r="AY13" s="15"/>
    </row>
    <row r="14" spans="1:51" ht="144.75" customHeight="1">
      <c r="A14" s="54">
        <v>4</v>
      </c>
      <c r="B14" s="53" t="s">
        <v>9</v>
      </c>
      <c r="C14" s="55" t="s">
        <v>85</v>
      </c>
      <c r="D14" s="51">
        <v>49027</v>
      </c>
      <c r="E14" s="17" t="s">
        <v>86</v>
      </c>
      <c r="F14" s="52" t="str">
        <f>"T_" &amp; D14 &amp; "_" &amp; COUNTIF($D$11:D14, D14)</f>
        <v>T_49027_1</v>
      </c>
      <c r="G14" s="13" t="s">
        <v>87</v>
      </c>
      <c r="H14" s="13" t="s">
        <v>77</v>
      </c>
      <c r="I14" s="14" t="s">
        <v>88</v>
      </c>
      <c r="J14" s="13" t="s">
        <v>89</v>
      </c>
      <c r="K14" s="13" t="s">
        <v>90</v>
      </c>
      <c r="L14" s="13" t="s">
        <v>91</v>
      </c>
      <c r="M14" s="111" t="s">
        <v>74</v>
      </c>
      <c r="N14" s="45"/>
      <c r="P14" s="15"/>
      <c r="Q14" s="15"/>
      <c r="R14" s="15"/>
      <c r="S14" s="15"/>
      <c r="T14" s="15"/>
      <c r="U14" s="15"/>
      <c r="V14" s="15"/>
      <c r="W14" s="15"/>
      <c r="X14" s="15"/>
      <c r="Y14" s="15"/>
      <c r="Z14" s="15"/>
      <c r="AA14" s="15"/>
      <c r="AB14" s="15"/>
      <c r="AC14" s="15"/>
      <c r="AD14" s="15"/>
      <c r="AE14" s="15"/>
      <c r="AF14" s="15"/>
      <c r="AG14" s="15"/>
      <c r="AH14" s="15"/>
      <c r="AI14" s="15"/>
      <c r="AJ14" s="15"/>
      <c r="AK14" s="15"/>
      <c r="AL14" s="15"/>
      <c r="AM14" s="15"/>
      <c r="AN14" s="15"/>
      <c r="AO14" s="15"/>
      <c r="AP14" s="15"/>
      <c r="AQ14" s="15"/>
      <c r="AR14" s="15"/>
      <c r="AS14" s="15"/>
      <c r="AT14" s="15"/>
      <c r="AU14" s="15"/>
      <c r="AV14" s="15"/>
      <c r="AW14" s="15"/>
      <c r="AX14" s="15"/>
      <c r="AY14" s="15"/>
    </row>
    <row r="15" spans="1:51" ht="64.5">
      <c r="A15" s="54">
        <v>5</v>
      </c>
      <c r="B15" s="53" t="s">
        <v>9</v>
      </c>
      <c r="C15" s="55" t="s">
        <v>85</v>
      </c>
      <c r="D15" s="51">
        <v>49027</v>
      </c>
      <c r="E15" s="17" t="s">
        <v>86</v>
      </c>
      <c r="F15" s="52" t="str">
        <f>"T_" &amp; D15 &amp; "_" &amp; COUNTIF($D$11:D15, D15)</f>
        <v>T_49027_2</v>
      </c>
      <c r="G15" s="13" t="s">
        <v>87</v>
      </c>
      <c r="H15" s="13" t="s">
        <v>77</v>
      </c>
      <c r="I15" s="14" t="s">
        <v>88</v>
      </c>
      <c r="J15" s="13" t="s">
        <v>89</v>
      </c>
      <c r="K15" s="13" t="s">
        <v>92</v>
      </c>
      <c r="L15" s="13" t="s">
        <v>93</v>
      </c>
      <c r="M15" s="111" t="s">
        <v>74</v>
      </c>
      <c r="N15" s="80"/>
      <c r="O15" s="170"/>
    </row>
    <row r="16" spans="1:51" ht="147.75" customHeight="1">
      <c r="A16" s="54">
        <v>6</v>
      </c>
      <c r="B16" s="53" t="s">
        <v>9</v>
      </c>
      <c r="C16" s="55" t="s">
        <v>94</v>
      </c>
      <c r="D16" s="51">
        <v>49030</v>
      </c>
      <c r="E16" s="17" t="s">
        <v>95</v>
      </c>
      <c r="F16" s="52" t="str">
        <f>"T_" &amp; D16 &amp; "_" &amp; COUNTIF($D$11:D16, D16)</f>
        <v>T_49030_1</v>
      </c>
      <c r="G16" s="17" t="s">
        <v>96</v>
      </c>
      <c r="H16" s="13" t="s">
        <v>82</v>
      </c>
      <c r="I16" s="13" t="s">
        <v>97</v>
      </c>
      <c r="J16" s="13" t="s">
        <v>89</v>
      </c>
      <c r="K16" s="13" t="s">
        <v>98</v>
      </c>
      <c r="L16" s="19" t="s">
        <v>99</v>
      </c>
      <c r="M16" s="111" t="s">
        <v>74</v>
      </c>
      <c r="N16" s="80"/>
      <c r="O16" s="170"/>
    </row>
    <row r="17" spans="1:15" ht="64.5">
      <c r="A17" s="54">
        <v>7</v>
      </c>
      <c r="B17" s="53" t="s">
        <v>9</v>
      </c>
      <c r="C17" s="55" t="s">
        <v>94</v>
      </c>
      <c r="D17" s="51">
        <v>49031</v>
      </c>
      <c r="E17" s="17" t="s">
        <v>100</v>
      </c>
      <c r="F17" s="52" t="str">
        <f>"T_" &amp; D17 &amp; "_" &amp; COUNTIF($D$11:D17, D17)</f>
        <v>T_49031_1</v>
      </c>
      <c r="G17" s="17" t="s">
        <v>101</v>
      </c>
      <c r="H17" s="13" t="s">
        <v>82</v>
      </c>
      <c r="I17" s="13" t="s">
        <v>97</v>
      </c>
      <c r="J17" s="13" t="s">
        <v>89</v>
      </c>
      <c r="K17" s="13" t="s">
        <v>98</v>
      </c>
      <c r="L17" s="13" t="s">
        <v>102</v>
      </c>
      <c r="M17" s="111" t="s">
        <v>74</v>
      </c>
      <c r="N17" s="80"/>
      <c r="O17" s="170"/>
    </row>
    <row r="18" spans="1:15" ht="113.25">
      <c r="A18" s="54">
        <v>8</v>
      </c>
      <c r="B18" s="53" t="s">
        <v>9</v>
      </c>
      <c r="C18" s="55" t="s">
        <v>94</v>
      </c>
      <c r="D18" s="51">
        <v>49031</v>
      </c>
      <c r="E18" s="17" t="s">
        <v>100</v>
      </c>
      <c r="F18" s="52" t="str">
        <f>"T_" &amp; D18 &amp; "_" &amp; COUNTIF($D$11:D18, D18)</f>
        <v>T_49031_2</v>
      </c>
      <c r="G18" s="17" t="s">
        <v>101</v>
      </c>
      <c r="H18" s="13" t="s">
        <v>103</v>
      </c>
      <c r="I18" s="13" t="s">
        <v>97</v>
      </c>
      <c r="J18" s="13" t="s">
        <v>89</v>
      </c>
      <c r="K18" s="13" t="s">
        <v>98</v>
      </c>
      <c r="L18" s="19" t="s">
        <v>104</v>
      </c>
      <c r="M18" s="111" t="s">
        <v>105</v>
      </c>
      <c r="N18" s="80"/>
      <c r="O18" s="170"/>
    </row>
    <row r="19" spans="1:15" ht="127.5" customHeight="1">
      <c r="A19" s="54">
        <v>9</v>
      </c>
      <c r="B19" s="53" t="s">
        <v>9</v>
      </c>
      <c r="C19" s="55" t="s">
        <v>94</v>
      </c>
      <c r="D19" s="51">
        <v>49032</v>
      </c>
      <c r="E19" s="21" t="s">
        <v>106</v>
      </c>
      <c r="F19" s="52" t="str">
        <f>"T_" &amp; D19 &amp; "_" &amp; COUNTIF($D$11:D19, D19)</f>
        <v>T_49032_1</v>
      </c>
      <c r="G19" s="21" t="s">
        <v>107</v>
      </c>
      <c r="H19" s="13" t="s">
        <v>103</v>
      </c>
      <c r="I19" s="13" t="s">
        <v>97</v>
      </c>
      <c r="J19" s="13" t="s">
        <v>89</v>
      </c>
      <c r="K19" s="13" t="s">
        <v>98</v>
      </c>
      <c r="L19" s="19" t="s">
        <v>108</v>
      </c>
      <c r="M19" s="111" t="s">
        <v>105</v>
      </c>
      <c r="N19" s="80"/>
      <c r="O19" s="170"/>
    </row>
    <row r="20" spans="1:15" ht="178.5" customHeight="1">
      <c r="A20" s="54">
        <v>10</v>
      </c>
      <c r="B20" s="53" t="s">
        <v>9</v>
      </c>
      <c r="C20" s="55" t="s">
        <v>94</v>
      </c>
      <c r="D20" s="51">
        <v>49033</v>
      </c>
      <c r="E20" s="21" t="s">
        <v>109</v>
      </c>
      <c r="F20" s="52" t="str">
        <f>"T_" &amp; D20 &amp; "_" &amp; COUNTIF($D$11:D20, D20)</f>
        <v>T_49033_1</v>
      </c>
      <c r="G20" s="13" t="s">
        <v>110</v>
      </c>
      <c r="H20" s="37" t="s">
        <v>111</v>
      </c>
      <c r="I20" s="13" t="s">
        <v>112</v>
      </c>
      <c r="J20" s="13" t="s">
        <v>113</v>
      </c>
      <c r="K20" s="13" t="s">
        <v>114</v>
      </c>
      <c r="L20" s="19" t="s">
        <v>115</v>
      </c>
      <c r="M20" s="111" t="s">
        <v>105</v>
      </c>
      <c r="N20" s="80"/>
      <c r="O20" s="170"/>
    </row>
    <row r="21" spans="1:15" ht="166.5" customHeight="1">
      <c r="A21" s="54">
        <v>11</v>
      </c>
      <c r="B21" s="53" t="s">
        <v>9</v>
      </c>
      <c r="C21" s="55" t="s">
        <v>94</v>
      </c>
      <c r="D21" s="51">
        <v>49033</v>
      </c>
      <c r="E21" s="21" t="s">
        <v>109</v>
      </c>
      <c r="F21" s="52" t="str">
        <f>"T_" &amp; D21 &amp; "_" &amp; COUNTIF($D$11:D21, D21)</f>
        <v>T_49033_2</v>
      </c>
      <c r="G21" s="13" t="s">
        <v>110</v>
      </c>
      <c r="H21" s="37" t="s">
        <v>111</v>
      </c>
      <c r="I21" s="13" t="s">
        <v>112</v>
      </c>
      <c r="J21" s="13" t="s">
        <v>113</v>
      </c>
      <c r="K21" s="13" t="s">
        <v>116</v>
      </c>
      <c r="L21" s="19" t="s">
        <v>115</v>
      </c>
      <c r="M21" s="111" t="s">
        <v>105</v>
      </c>
      <c r="N21" s="80"/>
      <c r="O21" s="170"/>
    </row>
    <row r="22" spans="1:15" ht="166.5" customHeight="1">
      <c r="A22" s="54">
        <v>12</v>
      </c>
      <c r="B22" s="53" t="s">
        <v>9</v>
      </c>
      <c r="C22" s="55" t="s">
        <v>94</v>
      </c>
      <c r="D22" s="51">
        <v>49033</v>
      </c>
      <c r="E22" s="21" t="s">
        <v>109</v>
      </c>
      <c r="F22" s="52" t="str">
        <f>"T_" &amp; D22 &amp; "_" &amp; COUNTIF($D$11:D22, D22)</f>
        <v>T_49033_3</v>
      </c>
      <c r="G22" s="13" t="s">
        <v>110</v>
      </c>
      <c r="H22" s="37" t="s">
        <v>111</v>
      </c>
      <c r="I22" s="13" t="s">
        <v>112</v>
      </c>
      <c r="J22" s="13" t="s">
        <v>113</v>
      </c>
      <c r="K22" s="13" t="s">
        <v>117</v>
      </c>
      <c r="L22" s="19" t="s">
        <v>115</v>
      </c>
      <c r="M22" s="111" t="s">
        <v>105</v>
      </c>
      <c r="N22" s="80"/>
      <c r="O22" s="170"/>
    </row>
    <row r="23" spans="1:15" ht="166.5" customHeight="1">
      <c r="A23" s="54">
        <v>13</v>
      </c>
      <c r="B23" s="53" t="s">
        <v>9</v>
      </c>
      <c r="C23" s="55" t="s">
        <v>94</v>
      </c>
      <c r="D23" s="51">
        <v>49033</v>
      </c>
      <c r="E23" s="21" t="s">
        <v>109</v>
      </c>
      <c r="F23" s="52" t="str">
        <f>"T_" &amp; D23 &amp; "_" &amp; COUNTIF($D$11:D23, D23)</f>
        <v>T_49033_4</v>
      </c>
      <c r="G23" s="56" t="s">
        <v>110</v>
      </c>
      <c r="H23" s="13" t="s">
        <v>111</v>
      </c>
      <c r="I23" s="38" t="s">
        <v>112</v>
      </c>
      <c r="J23" s="13" t="s">
        <v>113</v>
      </c>
      <c r="K23" s="13" t="s">
        <v>118</v>
      </c>
      <c r="L23" s="19" t="s">
        <v>115</v>
      </c>
      <c r="M23" s="111" t="s">
        <v>105</v>
      </c>
      <c r="N23" s="80"/>
      <c r="O23" s="170"/>
    </row>
    <row r="24" spans="1:15" ht="166.5" customHeight="1">
      <c r="A24" s="54">
        <v>14</v>
      </c>
      <c r="B24" s="53" t="s">
        <v>9</v>
      </c>
      <c r="C24" s="55" t="s">
        <v>94</v>
      </c>
      <c r="D24" s="51">
        <v>49033</v>
      </c>
      <c r="E24" s="21" t="s">
        <v>109</v>
      </c>
      <c r="F24" s="52" t="str">
        <f>"T_" &amp; D24 &amp; "_" &amp; COUNTIF($D$11:D24, D24)</f>
        <v>T_49033_5</v>
      </c>
      <c r="G24" s="48" t="s">
        <v>110</v>
      </c>
      <c r="H24" s="37" t="s">
        <v>111</v>
      </c>
      <c r="I24" s="13" t="s">
        <v>112</v>
      </c>
      <c r="J24" s="13" t="s">
        <v>113</v>
      </c>
      <c r="K24" s="13" t="s">
        <v>119</v>
      </c>
      <c r="L24" s="19" t="s">
        <v>115</v>
      </c>
      <c r="M24" s="111" t="s">
        <v>105</v>
      </c>
      <c r="N24" s="80"/>
      <c r="O24" s="170"/>
    </row>
    <row r="25" spans="1:15" ht="166.5" customHeight="1">
      <c r="A25" s="54">
        <v>15</v>
      </c>
      <c r="B25" s="53" t="s">
        <v>9</v>
      </c>
      <c r="C25" s="55" t="s">
        <v>94</v>
      </c>
      <c r="D25" s="51">
        <v>49033</v>
      </c>
      <c r="E25" s="21" t="s">
        <v>109</v>
      </c>
      <c r="F25" s="52" t="str">
        <f>"T_" &amp; D25 &amp; "_" &amp; COUNTIF($D$11:D25, D25)</f>
        <v>T_49033_6</v>
      </c>
      <c r="G25" s="13" t="s">
        <v>110</v>
      </c>
      <c r="H25" s="48" t="s">
        <v>111</v>
      </c>
      <c r="I25" s="38" t="s">
        <v>112</v>
      </c>
      <c r="J25" s="13" t="s">
        <v>113</v>
      </c>
      <c r="K25" s="13" t="s">
        <v>120</v>
      </c>
      <c r="L25" s="19" t="s">
        <v>115</v>
      </c>
      <c r="M25" s="111" t="s">
        <v>105</v>
      </c>
      <c r="N25" s="80"/>
      <c r="O25" s="170"/>
    </row>
    <row r="26" spans="1:15" ht="166.5" customHeight="1">
      <c r="A26" s="54">
        <v>16</v>
      </c>
      <c r="B26" s="53" t="s">
        <v>9</v>
      </c>
      <c r="C26" s="55" t="s">
        <v>94</v>
      </c>
      <c r="D26" s="51">
        <v>49033</v>
      </c>
      <c r="E26" s="21" t="s">
        <v>109</v>
      </c>
      <c r="F26" s="52" t="str">
        <f>"T_" &amp; D26 &amp; "_" &amp; COUNTIF($D$11:D26, D26)</f>
        <v>T_49033_7</v>
      </c>
      <c r="G26" s="57" t="s">
        <v>110</v>
      </c>
      <c r="H26" s="13" t="s">
        <v>111</v>
      </c>
      <c r="I26" s="38" t="s">
        <v>112</v>
      </c>
      <c r="J26" s="13" t="s">
        <v>113</v>
      </c>
      <c r="K26" s="13" t="s">
        <v>120</v>
      </c>
      <c r="L26" s="19" t="s">
        <v>115</v>
      </c>
      <c r="M26" s="111" t="s">
        <v>105</v>
      </c>
      <c r="N26" s="80"/>
      <c r="O26" s="170"/>
    </row>
    <row r="27" spans="1:15" ht="166.5" customHeight="1">
      <c r="A27" s="54">
        <v>17</v>
      </c>
      <c r="B27" s="53" t="s">
        <v>9</v>
      </c>
      <c r="C27" s="55" t="s">
        <v>94</v>
      </c>
      <c r="D27" s="51">
        <v>49033</v>
      </c>
      <c r="E27" s="21" t="s">
        <v>109</v>
      </c>
      <c r="F27" s="52" t="str">
        <f>"T_" &amp; D27 &amp; "_" &amp; COUNTIF($D$11:D27, D27)</f>
        <v>T_49033_8</v>
      </c>
      <c r="G27" s="56" t="s">
        <v>110</v>
      </c>
      <c r="H27" s="13" t="s">
        <v>111</v>
      </c>
      <c r="I27" s="38" t="s">
        <v>112</v>
      </c>
      <c r="J27" s="13" t="s">
        <v>113</v>
      </c>
      <c r="K27" s="13" t="s">
        <v>120</v>
      </c>
      <c r="L27" s="19" t="s">
        <v>121</v>
      </c>
      <c r="M27" s="111" t="s">
        <v>105</v>
      </c>
      <c r="N27" s="80"/>
      <c r="O27" s="170"/>
    </row>
    <row r="28" spans="1:15" ht="166.5" customHeight="1">
      <c r="A28" s="54">
        <v>18</v>
      </c>
      <c r="B28" s="53" t="s">
        <v>9</v>
      </c>
      <c r="C28" s="55" t="s">
        <v>94</v>
      </c>
      <c r="D28" s="51">
        <v>49033</v>
      </c>
      <c r="E28" s="21" t="s">
        <v>109</v>
      </c>
      <c r="F28" s="52" t="str">
        <f>"T_" &amp; D28 &amp; "_" &amp; COUNTIF($D$11:D28, D28)</f>
        <v>T_49033_9</v>
      </c>
      <c r="G28" s="13" t="s">
        <v>110</v>
      </c>
      <c r="H28" s="37" t="s">
        <v>111</v>
      </c>
      <c r="I28" s="13" t="s">
        <v>112</v>
      </c>
      <c r="J28" s="13" t="s">
        <v>113</v>
      </c>
      <c r="K28" s="13" t="s">
        <v>122</v>
      </c>
      <c r="L28" s="19" t="s">
        <v>121</v>
      </c>
      <c r="M28" s="111" t="s">
        <v>105</v>
      </c>
      <c r="N28" s="80"/>
      <c r="O28" s="170"/>
    </row>
    <row r="29" spans="1:15" ht="166.5" customHeight="1">
      <c r="A29" s="54">
        <v>19</v>
      </c>
      <c r="B29" s="53" t="s">
        <v>9</v>
      </c>
      <c r="C29" s="55" t="s">
        <v>94</v>
      </c>
      <c r="D29" s="51">
        <v>49033</v>
      </c>
      <c r="E29" s="21" t="s">
        <v>109</v>
      </c>
      <c r="F29" s="52" t="str">
        <f>"T_" &amp; D29 &amp; "_" &amp; COUNTIF($D$11:D29, D29)</f>
        <v>T_49033_10</v>
      </c>
      <c r="G29" s="56" t="s">
        <v>110</v>
      </c>
      <c r="H29" s="48" t="s">
        <v>111</v>
      </c>
      <c r="I29" s="38" t="s">
        <v>112</v>
      </c>
      <c r="J29" s="13" t="s">
        <v>113</v>
      </c>
      <c r="K29" s="13" t="s">
        <v>123</v>
      </c>
      <c r="L29" s="19" t="s">
        <v>121</v>
      </c>
      <c r="M29" s="111" t="s">
        <v>105</v>
      </c>
      <c r="N29" s="80"/>
      <c r="O29" s="170"/>
    </row>
    <row r="30" spans="1:15" ht="166.5" customHeight="1">
      <c r="A30" s="54">
        <v>20</v>
      </c>
      <c r="B30" s="53" t="s">
        <v>9</v>
      </c>
      <c r="C30" s="55" t="s">
        <v>94</v>
      </c>
      <c r="D30" s="51">
        <v>49033</v>
      </c>
      <c r="E30" s="21" t="s">
        <v>109</v>
      </c>
      <c r="F30" s="52" t="str">
        <f>"T_" &amp; D30 &amp; "_" &amp; COUNTIF($D$11:D30, D30)</f>
        <v>T_49033_11</v>
      </c>
      <c r="G30" s="56" t="s">
        <v>110</v>
      </c>
      <c r="H30" s="13" t="s">
        <v>111</v>
      </c>
      <c r="I30" s="38" t="s">
        <v>112</v>
      </c>
      <c r="J30" s="13" t="s">
        <v>113</v>
      </c>
      <c r="K30" s="13" t="s">
        <v>124</v>
      </c>
      <c r="L30" s="19" t="s">
        <v>115</v>
      </c>
      <c r="M30" s="111" t="s">
        <v>105</v>
      </c>
      <c r="N30" s="80"/>
      <c r="O30" s="170"/>
    </row>
    <row r="31" spans="1:15" ht="166.5" customHeight="1">
      <c r="A31" s="54">
        <v>21</v>
      </c>
      <c r="B31" s="53" t="s">
        <v>9</v>
      </c>
      <c r="C31" s="55" t="s">
        <v>94</v>
      </c>
      <c r="D31" s="51">
        <v>49033</v>
      </c>
      <c r="E31" s="21" t="s">
        <v>109</v>
      </c>
      <c r="F31" s="52" t="str">
        <f>"T_" &amp; D31 &amp; "_" &amp; COUNTIF($D$11:D31, D31)</f>
        <v>T_49033_12</v>
      </c>
      <c r="G31" s="56" t="s">
        <v>110</v>
      </c>
      <c r="H31" s="13" t="s">
        <v>111</v>
      </c>
      <c r="I31" s="38" t="s">
        <v>112</v>
      </c>
      <c r="J31" s="13" t="s">
        <v>113</v>
      </c>
      <c r="K31" s="13" t="s">
        <v>125</v>
      </c>
      <c r="L31" s="19" t="s">
        <v>115</v>
      </c>
      <c r="M31" s="111" t="s">
        <v>105</v>
      </c>
      <c r="N31" s="80"/>
      <c r="O31" s="170"/>
    </row>
    <row r="32" spans="1:15" ht="166.5" customHeight="1">
      <c r="A32" s="54">
        <v>22</v>
      </c>
      <c r="B32" s="53" t="s">
        <v>9</v>
      </c>
      <c r="C32" s="55" t="s">
        <v>94</v>
      </c>
      <c r="D32" s="51">
        <v>49033</v>
      </c>
      <c r="E32" s="21" t="s">
        <v>109</v>
      </c>
      <c r="F32" s="52" t="str">
        <f>"T_" &amp; D32 &amp; "_" &amp; COUNTIF($D$11:D32, D32)</f>
        <v>T_49033_13</v>
      </c>
      <c r="G32" s="13" t="s">
        <v>110</v>
      </c>
      <c r="H32" s="37" t="s">
        <v>111</v>
      </c>
      <c r="I32" s="13" t="s">
        <v>112</v>
      </c>
      <c r="J32" s="13" t="s">
        <v>113</v>
      </c>
      <c r="K32" s="13" t="s">
        <v>126</v>
      </c>
      <c r="L32" s="19" t="s">
        <v>115</v>
      </c>
      <c r="M32" s="111" t="s">
        <v>105</v>
      </c>
      <c r="N32" s="80"/>
      <c r="O32" s="170"/>
    </row>
    <row r="33" spans="1:15" ht="166.5" customHeight="1">
      <c r="A33" s="54">
        <v>23</v>
      </c>
      <c r="B33" s="53" t="s">
        <v>9</v>
      </c>
      <c r="C33" s="55" t="s">
        <v>94</v>
      </c>
      <c r="D33" s="51">
        <v>49033</v>
      </c>
      <c r="E33" s="21" t="s">
        <v>109</v>
      </c>
      <c r="F33" s="52" t="str">
        <f>"T_" &amp; D33 &amp; "_" &amp; COUNTIF($D$11:D33, D33)</f>
        <v>T_49033_14</v>
      </c>
      <c r="G33" s="56" t="s">
        <v>110</v>
      </c>
      <c r="H33" s="13" t="s">
        <v>111</v>
      </c>
      <c r="I33" s="38" t="s">
        <v>112</v>
      </c>
      <c r="J33" s="13" t="s">
        <v>113</v>
      </c>
      <c r="K33" s="13" t="s">
        <v>127</v>
      </c>
      <c r="L33" s="19" t="s">
        <v>115</v>
      </c>
      <c r="M33" s="111" t="s">
        <v>105</v>
      </c>
      <c r="N33" s="80"/>
      <c r="O33" s="170"/>
    </row>
    <row r="34" spans="1:15" ht="166.5" customHeight="1">
      <c r="A34" s="54">
        <v>24</v>
      </c>
      <c r="B34" s="53" t="s">
        <v>9</v>
      </c>
      <c r="C34" s="55" t="s">
        <v>94</v>
      </c>
      <c r="D34" s="51">
        <v>49033</v>
      </c>
      <c r="E34" s="21" t="s">
        <v>109</v>
      </c>
      <c r="F34" s="52" t="str">
        <f>"T_" &amp; D34 &amp; "_" &amp; COUNTIF($D$11:D34, D34)</f>
        <v>T_49033_15</v>
      </c>
      <c r="G34" s="56" t="s">
        <v>110</v>
      </c>
      <c r="H34" s="13" t="s">
        <v>111</v>
      </c>
      <c r="I34" s="38" t="s">
        <v>112</v>
      </c>
      <c r="J34" s="13" t="s">
        <v>113</v>
      </c>
      <c r="K34" s="13" t="s">
        <v>128</v>
      </c>
      <c r="L34" s="19" t="s">
        <v>121</v>
      </c>
      <c r="M34" s="111" t="s">
        <v>74</v>
      </c>
      <c r="N34" s="80"/>
      <c r="O34" s="170"/>
    </row>
    <row r="35" spans="1:15" ht="166.5" customHeight="1">
      <c r="A35" s="54">
        <v>25</v>
      </c>
      <c r="B35" s="53" t="s">
        <v>9</v>
      </c>
      <c r="C35" s="55" t="s">
        <v>94</v>
      </c>
      <c r="D35" s="51">
        <v>49033</v>
      </c>
      <c r="E35" s="21" t="s">
        <v>109</v>
      </c>
      <c r="F35" s="52" t="str">
        <f>"T_" &amp; D35 &amp; "_" &amp; COUNTIF($D$11:D35, D35)</f>
        <v>T_49033_16</v>
      </c>
      <c r="G35" s="56" t="s">
        <v>110</v>
      </c>
      <c r="H35" s="13" t="s">
        <v>111</v>
      </c>
      <c r="I35" s="38" t="s">
        <v>112</v>
      </c>
      <c r="J35" s="13" t="s">
        <v>113</v>
      </c>
      <c r="K35" s="13" t="s">
        <v>129</v>
      </c>
      <c r="L35" s="19" t="s">
        <v>121</v>
      </c>
      <c r="M35" s="111" t="s">
        <v>74</v>
      </c>
      <c r="N35" s="80"/>
      <c r="O35" s="170"/>
    </row>
    <row r="36" spans="1:15" ht="166.5" customHeight="1">
      <c r="A36" s="54">
        <v>26</v>
      </c>
      <c r="B36" s="53" t="s">
        <v>9</v>
      </c>
      <c r="C36" s="55" t="s">
        <v>94</v>
      </c>
      <c r="D36" s="51">
        <v>49033</v>
      </c>
      <c r="E36" s="21" t="s">
        <v>109</v>
      </c>
      <c r="F36" s="52" t="str">
        <f>"T_" &amp; D36 &amp; "_" &amp; COUNTIF($D$11:D36, D36)</f>
        <v>T_49033_17</v>
      </c>
      <c r="G36" s="56" t="s">
        <v>110</v>
      </c>
      <c r="H36" s="13" t="s">
        <v>111</v>
      </c>
      <c r="I36" s="38" t="s">
        <v>112</v>
      </c>
      <c r="J36" s="13" t="s">
        <v>113</v>
      </c>
      <c r="K36" s="13" t="s">
        <v>130</v>
      </c>
      <c r="L36" s="19" t="s">
        <v>121</v>
      </c>
      <c r="M36" s="111" t="s">
        <v>74</v>
      </c>
      <c r="N36" s="80"/>
      <c r="O36" s="170"/>
    </row>
    <row r="37" spans="1:15" ht="166.5" customHeight="1">
      <c r="A37" s="54">
        <v>27</v>
      </c>
      <c r="B37" s="53" t="s">
        <v>9</v>
      </c>
      <c r="C37" s="55" t="s">
        <v>94</v>
      </c>
      <c r="D37" s="51">
        <v>49033</v>
      </c>
      <c r="E37" s="21" t="s">
        <v>109</v>
      </c>
      <c r="F37" s="52" t="str">
        <f>"T_" &amp; D37 &amp; "_" &amp; COUNTIF($D$11:D37, D37)</f>
        <v>T_49033_18</v>
      </c>
      <c r="G37" s="56" t="s">
        <v>110</v>
      </c>
      <c r="H37" s="13" t="s">
        <v>111</v>
      </c>
      <c r="I37" s="38" t="s">
        <v>112</v>
      </c>
      <c r="J37" s="13" t="s">
        <v>113</v>
      </c>
      <c r="K37" s="13" t="s">
        <v>131</v>
      </c>
      <c r="L37" s="19" t="s">
        <v>121</v>
      </c>
      <c r="M37" s="111" t="s">
        <v>74</v>
      </c>
      <c r="N37" s="80"/>
      <c r="O37" s="170"/>
    </row>
    <row r="38" spans="1:15" ht="180.75" customHeight="1">
      <c r="A38" s="54">
        <v>28</v>
      </c>
      <c r="B38" s="53" t="s">
        <v>9</v>
      </c>
      <c r="C38" s="55" t="s">
        <v>94</v>
      </c>
      <c r="D38" s="51">
        <v>49034</v>
      </c>
      <c r="E38" s="22" t="s">
        <v>132</v>
      </c>
      <c r="F38" s="52" t="str">
        <f>"T_" &amp; D38 &amp; "_" &amp; COUNTIF($D$11:D38, D38)</f>
        <v>T_49034_1</v>
      </c>
      <c r="G38" s="13" t="s">
        <v>133</v>
      </c>
      <c r="H38" s="13" t="s">
        <v>111</v>
      </c>
      <c r="I38" s="38" t="s">
        <v>112</v>
      </c>
      <c r="J38" s="13" t="s">
        <v>113</v>
      </c>
      <c r="K38" s="13" t="s">
        <v>131</v>
      </c>
      <c r="L38" s="19" t="s">
        <v>134</v>
      </c>
      <c r="M38" s="111" t="s">
        <v>74</v>
      </c>
      <c r="N38" s="80"/>
      <c r="O38" s="170"/>
    </row>
    <row r="39" spans="1:15" ht="180.75" customHeight="1">
      <c r="A39" s="54">
        <v>29</v>
      </c>
      <c r="B39" s="53" t="s">
        <v>9</v>
      </c>
      <c r="C39" s="55" t="s">
        <v>94</v>
      </c>
      <c r="D39" s="51">
        <v>49036</v>
      </c>
      <c r="E39" s="19" t="s">
        <v>135</v>
      </c>
      <c r="F39" s="52" t="str">
        <f>"T_" &amp; D39 &amp; "_" &amp; COUNTIF($D$11:D39, D39)</f>
        <v>T_49036_1</v>
      </c>
      <c r="G39" s="13" t="s">
        <v>136</v>
      </c>
      <c r="H39" s="13" t="s">
        <v>137</v>
      </c>
      <c r="I39" s="38" t="s">
        <v>112</v>
      </c>
      <c r="J39" s="13" t="s">
        <v>113</v>
      </c>
      <c r="K39" s="13" t="s">
        <v>138</v>
      </c>
      <c r="L39" s="19" t="s">
        <v>139</v>
      </c>
      <c r="M39" s="111" t="s">
        <v>74</v>
      </c>
      <c r="N39" s="80"/>
      <c r="O39" s="170"/>
    </row>
    <row r="40" spans="1:15" ht="192.75" customHeight="1">
      <c r="A40" s="54">
        <v>30</v>
      </c>
      <c r="B40" s="53" t="s">
        <v>9</v>
      </c>
      <c r="C40" s="55" t="s">
        <v>94</v>
      </c>
      <c r="D40" s="51">
        <v>49037</v>
      </c>
      <c r="E40" s="21" t="s">
        <v>140</v>
      </c>
      <c r="F40" s="52" t="str">
        <f>"T_" &amp; D40 &amp; "_" &amp; COUNTIF($D$11:D40, D40)</f>
        <v>T_49037_1</v>
      </c>
      <c r="G40" s="13" t="s">
        <v>141</v>
      </c>
      <c r="H40" s="13" t="s">
        <v>142</v>
      </c>
      <c r="I40" s="38" t="s">
        <v>112</v>
      </c>
      <c r="J40" s="13" t="s">
        <v>113</v>
      </c>
      <c r="K40" s="13" t="s">
        <v>143</v>
      </c>
      <c r="L40" s="19" t="s">
        <v>144</v>
      </c>
      <c r="M40" s="111" t="s">
        <v>74</v>
      </c>
      <c r="N40" s="80"/>
      <c r="O40" s="170"/>
    </row>
    <row r="41" spans="1:15" ht="208.5" customHeight="1">
      <c r="A41" s="54">
        <v>31</v>
      </c>
      <c r="B41" s="53" t="s">
        <v>9</v>
      </c>
      <c r="C41" s="55" t="s">
        <v>94</v>
      </c>
      <c r="D41" s="51">
        <v>49038</v>
      </c>
      <c r="E41" s="21" t="s">
        <v>145</v>
      </c>
      <c r="F41" s="52" t="str">
        <f>"T_" &amp; D41 &amp; "_" &amp; COUNTIF($D$11:D41, D41)</f>
        <v>T_49038_1</v>
      </c>
      <c r="G41" s="13" t="s">
        <v>146</v>
      </c>
      <c r="H41" s="13" t="s">
        <v>142</v>
      </c>
      <c r="I41" s="38" t="s">
        <v>112</v>
      </c>
      <c r="J41" s="13" t="s">
        <v>113</v>
      </c>
      <c r="K41" s="13" t="s">
        <v>143</v>
      </c>
      <c r="L41" s="19" t="s">
        <v>147</v>
      </c>
      <c r="M41" s="111" t="s">
        <v>74</v>
      </c>
      <c r="N41" s="80"/>
      <c r="O41" s="170"/>
    </row>
    <row r="42" spans="1:15" ht="243.75" customHeight="1">
      <c r="A42" s="54">
        <v>32</v>
      </c>
      <c r="B42" s="53" t="s">
        <v>9</v>
      </c>
      <c r="C42" s="55" t="s">
        <v>94</v>
      </c>
      <c r="D42" s="51">
        <v>49039</v>
      </c>
      <c r="E42" s="22" t="s">
        <v>148</v>
      </c>
      <c r="F42" s="52" t="str">
        <f>"T_" &amp; D42 &amp; "_" &amp; COUNTIF($D$11:D42, D42)</f>
        <v>T_49039_1</v>
      </c>
      <c r="G42" s="21" t="s">
        <v>149</v>
      </c>
      <c r="H42" s="13" t="s">
        <v>142</v>
      </c>
      <c r="I42" s="38" t="s">
        <v>112</v>
      </c>
      <c r="J42" s="13" t="s">
        <v>113</v>
      </c>
      <c r="K42" s="13" t="s">
        <v>143</v>
      </c>
      <c r="L42" s="19" t="s">
        <v>150</v>
      </c>
      <c r="M42" s="111" t="s">
        <v>74</v>
      </c>
      <c r="N42" s="80"/>
      <c r="O42" s="170"/>
    </row>
    <row r="43" spans="1:15" ht="213.75" customHeight="1">
      <c r="A43" s="54">
        <v>33</v>
      </c>
      <c r="B43" s="53" t="s">
        <v>9</v>
      </c>
      <c r="C43" s="55" t="s">
        <v>94</v>
      </c>
      <c r="D43" s="51">
        <v>49040</v>
      </c>
      <c r="E43" s="39" t="s">
        <v>151</v>
      </c>
      <c r="F43" s="52" t="str">
        <f>"T_" &amp; D43 &amp; "_" &amp; COUNTIF($D$11:D43, D43)</f>
        <v>T_49040_1</v>
      </c>
      <c r="G43" s="46" t="s">
        <v>152</v>
      </c>
      <c r="H43" s="13" t="s">
        <v>142</v>
      </c>
      <c r="I43" s="38" t="s">
        <v>112</v>
      </c>
      <c r="J43" s="13" t="s">
        <v>113</v>
      </c>
      <c r="K43" s="13" t="s">
        <v>153</v>
      </c>
      <c r="L43" s="19" t="s">
        <v>154</v>
      </c>
      <c r="M43" s="111" t="s">
        <v>74</v>
      </c>
      <c r="N43" s="80"/>
      <c r="O43" s="170"/>
    </row>
    <row r="44" spans="1:15" ht="180.75" customHeight="1">
      <c r="A44" s="54">
        <v>34</v>
      </c>
      <c r="B44" s="53" t="s">
        <v>9</v>
      </c>
      <c r="C44" s="55" t="s">
        <v>94</v>
      </c>
      <c r="D44" s="51">
        <v>49041</v>
      </c>
      <c r="E44" s="19" t="s">
        <v>155</v>
      </c>
      <c r="F44" s="52" t="str">
        <f>"T_" &amp; D44 &amp; "_" &amp; COUNTIF($D$11:D44, D44)</f>
        <v>T_49041_1</v>
      </c>
      <c r="G44" s="19" t="s">
        <v>155</v>
      </c>
      <c r="H44" s="13" t="s">
        <v>142</v>
      </c>
      <c r="I44" s="38" t="s">
        <v>112</v>
      </c>
      <c r="J44" s="13" t="s">
        <v>113</v>
      </c>
      <c r="K44" s="13" t="s">
        <v>156</v>
      </c>
      <c r="L44" s="19" t="s">
        <v>157</v>
      </c>
      <c r="M44" s="111" t="s">
        <v>74</v>
      </c>
      <c r="N44" s="80"/>
      <c r="O44" s="170"/>
    </row>
    <row r="45" spans="1:15" ht="220.5" customHeight="1">
      <c r="A45" s="58">
        <v>35</v>
      </c>
      <c r="B45" s="53" t="s">
        <v>9</v>
      </c>
      <c r="C45" s="55" t="s">
        <v>94</v>
      </c>
      <c r="D45" s="51">
        <v>49042</v>
      </c>
      <c r="E45" s="22" t="s">
        <v>158</v>
      </c>
      <c r="F45" s="52" t="str">
        <f>"T_" &amp; D45 &amp; "_" &amp; COUNTIF($D$11:D45, D45)</f>
        <v>T_49042_1</v>
      </c>
      <c r="G45" s="59" t="s">
        <v>159</v>
      </c>
      <c r="H45" s="13" t="s">
        <v>142</v>
      </c>
      <c r="I45" s="38" t="s">
        <v>112</v>
      </c>
      <c r="J45" s="13" t="s">
        <v>113</v>
      </c>
      <c r="K45" s="13" t="s">
        <v>156</v>
      </c>
      <c r="L45" s="19" t="s">
        <v>160</v>
      </c>
      <c r="M45" s="111" t="s">
        <v>74</v>
      </c>
      <c r="N45" s="80"/>
      <c r="O45" s="170"/>
    </row>
    <row r="46" spans="1:15" ht="197.25" customHeight="1">
      <c r="A46" s="58">
        <v>36</v>
      </c>
      <c r="B46" s="53" t="s">
        <v>9</v>
      </c>
      <c r="C46" s="55" t="s">
        <v>94</v>
      </c>
      <c r="D46" s="51">
        <v>50979</v>
      </c>
      <c r="E46" s="19" t="s">
        <v>161</v>
      </c>
      <c r="F46" s="52" t="str">
        <f>"T_" &amp; D46 &amp; "_" &amp; COUNTIF($D$11:D46, D46)</f>
        <v>T_50979_1</v>
      </c>
      <c r="G46" s="39" t="s">
        <v>161</v>
      </c>
      <c r="H46" s="13" t="s">
        <v>142</v>
      </c>
      <c r="I46" s="38" t="s">
        <v>112</v>
      </c>
      <c r="J46" s="13" t="s">
        <v>113</v>
      </c>
      <c r="K46" s="13" t="s">
        <v>156</v>
      </c>
      <c r="L46" s="19" t="s">
        <v>160</v>
      </c>
      <c r="M46" s="111" t="s">
        <v>74</v>
      </c>
      <c r="N46" s="80"/>
      <c r="O46" s="170"/>
    </row>
    <row r="47" spans="1:15" ht="218.25" customHeight="1">
      <c r="A47" s="54">
        <v>37</v>
      </c>
      <c r="B47" s="53" t="s">
        <v>9</v>
      </c>
      <c r="C47" s="55" t="s">
        <v>94</v>
      </c>
      <c r="D47" s="51">
        <v>50782</v>
      </c>
      <c r="E47" s="22" t="s">
        <v>162</v>
      </c>
      <c r="F47" s="52" t="str">
        <f>"T_" &amp; D47 &amp; "_" &amp; COUNTIF($D$11:D47, D47)</f>
        <v>T_50782_1</v>
      </c>
      <c r="G47" s="19" t="s">
        <v>163</v>
      </c>
      <c r="H47" s="13" t="s">
        <v>142</v>
      </c>
      <c r="I47" s="38" t="s">
        <v>112</v>
      </c>
      <c r="J47" s="13" t="s">
        <v>113</v>
      </c>
      <c r="K47" s="13" t="s">
        <v>156</v>
      </c>
      <c r="L47" s="19" t="s">
        <v>164</v>
      </c>
      <c r="M47" s="111" t="s">
        <v>74</v>
      </c>
      <c r="N47" s="80"/>
      <c r="O47" s="170"/>
    </row>
    <row r="48" spans="1:15" ht="241.5" customHeight="1">
      <c r="A48" s="54">
        <v>38</v>
      </c>
      <c r="B48" s="53" t="s">
        <v>9</v>
      </c>
      <c r="C48" s="55" t="s">
        <v>94</v>
      </c>
      <c r="D48" s="51">
        <v>50848</v>
      </c>
      <c r="E48" s="60" t="s">
        <v>165</v>
      </c>
      <c r="F48" s="52" t="str">
        <f>"T_" &amp; D48 &amp; "_" &amp; COUNTIF($D$11:D48, D48)</f>
        <v>T_50848_1</v>
      </c>
      <c r="G48" s="46" t="s">
        <v>165</v>
      </c>
      <c r="H48" s="13" t="s">
        <v>142</v>
      </c>
      <c r="I48" s="38" t="s">
        <v>112</v>
      </c>
      <c r="J48" s="13" t="s">
        <v>113</v>
      </c>
      <c r="K48" s="13" t="s">
        <v>156</v>
      </c>
      <c r="L48" s="19" t="s">
        <v>166</v>
      </c>
      <c r="M48" s="111" t="s">
        <v>74</v>
      </c>
      <c r="N48" s="80"/>
      <c r="O48" s="170"/>
    </row>
    <row r="49" spans="1:15" ht="150" customHeight="1">
      <c r="A49" s="49">
        <v>39</v>
      </c>
      <c r="B49" s="14" t="s">
        <v>9</v>
      </c>
      <c r="C49" s="55" t="s">
        <v>167</v>
      </c>
      <c r="D49" s="51">
        <v>49046</v>
      </c>
      <c r="E49" s="13" t="s">
        <v>168</v>
      </c>
      <c r="F49" s="52" t="str">
        <f>"T_" &amp; D49 &amp; "_" &amp; COUNTIF($D$11:D49, D49)</f>
        <v>T_49046_1</v>
      </c>
      <c r="G49" s="13" t="s">
        <v>169</v>
      </c>
      <c r="H49" s="14" t="s">
        <v>170</v>
      </c>
      <c r="I49" s="14" t="s">
        <v>88</v>
      </c>
      <c r="J49" s="14" t="s">
        <v>89</v>
      </c>
      <c r="K49" s="45" t="s">
        <v>171</v>
      </c>
      <c r="L49" s="96" t="s">
        <v>172</v>
      </c>
      <c r="M49" s="111" t="s">
        <v>74</v>
      </c>
      <c r="N49" s="80"/>
      <c r="O49" s="170"/>
    </row>
    <row r="50" spans="1:15" ht="113.25">
      <c r="A50" s="54">
        <v>40</v>
      </c>
      <c r="B50" s="53" t="s">
        <v>9</v>
      </c>
      <c r="C50" s="55" t="s">
        <v>167</v>
      </c>
      <c r="D50" s="14">
        <v>49048</v>
      </c>
      <c r="E50" s="46" t="s">
        <v>173</v>
      </c>
      <c r="F50" s="52" t="str">
        <f>"T_" &amp; D50 &amp; "_" &amp; COUNTIF($D$11:D50, D50)</f>
        <v>T_49048_1</v>
      </c>
      <c r="G50" s="13" t="s">
        <v>174</v>
      </c>
      <c r="H50" s="14" t="s">
        <v>170</v>
      </c>
      <c r="I50" s="14" t="s">
        <v>88</v>
      </c>
      <c r="J50" s="14" t="s">
        <v>89</v>
      </c>
      <c r="K50" s="45" t="s">
        <v>171</v>
      </c>
      <c r="L50" s="96" t="s">
        <v>175</v>
      </c>
      <c r="M50" s="111" t="s">
        <v>74</v>
      </c>
      <c r="N50" s="80"/>
      <c r="O50" s="170"/>
    </row>
    <row r="51" spans="1:15" ht="129">
      <c r="A51" s="54">
        <v>41</v>
      </c>
      <c r="B51" s="53" t="s">
        <v>9</v>
      </c>
      <c r="C51" s="55" t="s">
        <v>167</v>
      </c>
      <c r="D51" s="45">
        <v>49047</v>
      </c>
      <c r="E51" s="19" t="s">
        <v>176</v>
      </c>
      <c r="F51" s="52" t="str">
        <f>"T_" &amp; D51 &amp; "_" &amp; COUNTIF($D$11:D51, D51)</f>
        <v>T_49047_1</v>
      </c>
      <c r="G51" s="13" t="s">
        <v>177</v>
      </c>
      <c r="H51" s="14" t="s">
        <v>170</v>
      </c>
      <c r="I51" s="14" t="s">
        <v>88</v>
      </c>
      <c r="J51" s="14" t="s">
        <v>89</v>
      </c>
      <c r="K51" s="45" t="s">
        <v>171</v>
      </c>
      <c r="L51" s="96" t="s">
        <v>178</v>
      </c>
      <c r="M51" s="111" t="s">
        <v>74</v>
      </c>
      <c r="N51" s="80"/>
      <c r="O51" s="170"/>
    </row>
    <row r="52" spans="1:15" ht="162">
      <c r="A52" s="54">
        <v>42</v>
      </c>
      <c r="B52" s="53" t="s">
        <v>9</v>
      </c>
      <c r="C52" s="55" t="s">
        <v>167</v>
      </c>
      <c r="D52" s="61">
        <v>49049</v>
      </c>
      <c r="E52" s="46" t="s">
        <v>179</v>
      </c>
      <c r="F52" s="52" t="str">
        <f>"T_" &amp; D52 &amp; "_" &amp; COUNTIF($D$11:D52, D52)</f>
        <v>T_49049_1</v>
      </c>
      <c r="G52" s="13" t="s">
        <v>180</v>
      </c>
      <c r="H52" s="14" t="s">
        <v>170</v>
      </c>
      <c r="I52" s="14" t="s">
        <v>88</v>
      </c>
      <c r="J52" s="14" t="s">
        <v>89</v>
      </c>
      <c r="K52" s="45" t="s">
        <v>171</v>
      </c>
      <c r="L52" s="19" t="s">
        <v>181</v>
      </c>
      <c r="M52" s="111" t="s">
        <v>74</v>
      </c>
      <c r="N52" s="80"/>
      <c r="O52" s="170"/>
    </row>
    <row r="53" spans="1:15" ht="146.25">
      <c r="A53" s="54">
        <v>43</v>
      </c>
      <c r="B53" s="53" t="s">
        <v>9</v>
      </c>
      <c r="C53" s="55" t="s">
        <v>167</v>
      </c>
      <c r="D53" s="19">
        <v>49050</v>
      </c>
      <c r="E53" s="39" t="s">
        <v>182</v>
      </c>
      <c r="F53" s="52" t="str">
        <f>"T_" &amp; D53 &amp; "_" &amp; COUNTIF($D$11:D53, D53)</f>
        <v>T_49050_1</v>
      </c>
      <c r="G53" s="19" t="s">
        <v>183</v>
      </c>
      <c r="H53" s="14" t="s">
        <v>170</v>
      </c>
      <c r="I53" s="14" t="s">
        <v>88</v>
      </c>
      <c r="J53" s="14" t="s">
        <v>89</v>
      </c>
      <c r="K53" s="14" t="s">
        <v>171</v>
      </c>
      <c r="L53" s="13" t="s">
        <v>184</v>
      </c>
      <c r="M53" s="111" t="s">
        <v>74</v>
      </c>
      <c r="N53" s="80"/>
      <c r="O53" s="170"/>
    </row>
    <row r="54" spans="1:15" ht="226.5">
      <c r="A54" s="54">
        <v>44</v>
      </c>
      <c r="B54" s="53" t="s">
        <v>9</v>
      </c>
      <c r="C54" s="55" t="s">
        <v>167</v>
      </c>
      <c r="D54" s="66">
        <v>49051</v>
      </c>
      <c r="E54" s="19" t="s">
        <v>145</v>
      </c>
      <c r="F54" s="52" t="str">
        <f>"T_" &amp; D54 &amp; "_" &amp; COUNTIF($D$11:D54, D54)</f>
        <v>T_49051_1</v>
      </c>
      <c r="G54" s="46" t="s">
        <v>185</v>
      </c>
      <c r="H54" s="14" t="s">
        <v>170</v>
      </c>
      <c r="I54" s="14" t="s">
        <v>88</v>
      </c>
      <c r="J54" s="14" t="s">
        <v>89</v>
      </c>
      <c r="K54" s="14" t="s">
        <v>171</v>
      </c>
      <c r="L54" s="39" t="s">
        <v>186</v>
      </c>
      <c r="M54" s="111" t="s">
        <v>74</v>
      </c>
      <c r="N54" s="80"/>
      <c r="O54" s="170"/>
    </row>
    <row r="55" spans="1:15" ht="226.5">
      <c r="A55" s="54">
        <v>45</v>
      </c>
      <c r="B55" s="53" t="s">
        <v>9</v>
      </c>
      <c r="C55" s="55" t="s">
        <v>167</v>
      </c>
      <c r="D55" s="45">
        <v>49053</v>
      </c>
      <c r="E55" s="190" t="s">
        <v>148</v>
      </c>
      <c r="F55" s="52" t="str">
        <f>"T_" &amp; D55 &amp; "_" &amp; COUNTIF($D$11:D55, D55)</f>
        <v>T_49053_1</v>
      </c>
      <c r="G55" s="62" t="s">
        <v>187</v>
      </c>
      <c r="H55" s="14" t="s">
        <v>170</v>
      </c>
      <c r="I55" s="14" t="s">
        <v>88</v>
      </c>
      <c r="J55" s="14" t="s">
        <v>89</v>
      </c>
      <c r="K55" s="14" t="s">
        <v>171</v>
      </c>
      <c r="L55" s="39" t="s">
        <v>188</v>
      </c>
      <c r="M55" s="111" t="s">
        <v>74</v>
      </c>
      <c r="N55" s="80"/>
      <c r="O55" s="170"/>
    </row>
    <row r="56" spans="1:15" ht="243">
      <c r="A56" s="54">
        <v>46</v>
      </c>
      <c r="B56" s="53" t="s">
        <v>9</v>
      </c>
      <c r="C56" s="55" t="s">
        <v>167</v>
      </c>
      <c r="D56" s="45">
        <v>49056</v>
      </c>
      <c r="E56" s="62" t="s">
        <v>189</v>
      </c>
      <c r="F56" s="52" t="str">
        <f>"T_" &amp; D56 &amp; "_" &amp; COUNTIF($D$11:D56, D56)</f>
        <v>T_49056_1</v>
      </c>
      <c r="G56" s="46" t="s">
        <v>190</v>
      </c>
      <c r="H56" s="14" t="s">
        <v>170</v>
      </c>
      <c r="I56" s="14" t="s">
        <v>88</v>
      </c>
      <c r="J56" s="14" t="s">
        <v>89</v>
      </c>
      <c r="K56" s="14" t="s">
        <v>171</v>
      </c>
      <c r="L56" s="39" t="s">
        <v>191</v>
      </c>
      <c r="M56" s="111" t="s">
        <v>74</v>
      </c>
      <c r="N56" s="80"/>
      <c r="O56" s="170"/>
    </row>
    <row r="57" spans="1:15" ht="32.25">
      <c r="A57" s="54">
        <v>47</v>
      </c>
      <c r="B57" s="53" t="s">
        <v>9</v>
      </c>
      <c r="C57" s="55" t="s">
        <v>167</v>
      </c>
      <c r="D57" s="45">
        <v>49054</v>
      </c>
      <c r="E57" s="190" t="s">
        <v>192</v>
      </c>
      <c r="F57" s="52" t="str">
        <f>"T_" &amp; D57 &amp; "_" &amp; COUNTIF($D$11:D57, D57)</f>
        <v>T_49054_1</v>
      </c>
      <c r="G57" s="62" t="s">
        <v>193</v>
      </c>
      <c r="H57" s="14" t="s">
        <v>170</v>
      </c>
      <c r="I57" s="14" t="s">
        <v>88</v>
      </c>
      <c r="J57" s="14" t="s">
        <v>89</v>
      </c>
      <c r="K57" s="14" t="s">
        <v>171</v>
      </c>
      <c r="L57" s="39" t="s">
        <v>194</v>
      </c>
      <c r="M57" s="111" t="s">
        <v>74</v>
      </c>
      <c r="N57" s="80"/>
      <c r="O57" s="170"/>
    </row>
    <row r="58" spans="1:15" ht="307.5">
      <c r="A58" s="54">
        <v>48</v>
      </c>
      <c r="B58" s="53" t="s">
        <v>9</v>
      </c>
      <c r="C58" s="55" t="s">
        <v>167</v>
      </c>
      <c r="D58" s="45">
        <v>49055</v>
      </c>
      <c r="E58" s="62" t="s">
        <v>195</v>
      </c>
      <c r="F58" s="52" t="str">
        <f>"T_" &amp; D58 &amp; "_" &amp; COUNTIF($D$11:D58, D58)</f>
        <v>T_49055_1</v>
      </c>
      <c r="G58" s="63" t="s">
        <v>196</v>
      </c>
      <c r="H58" s="14" t="s">
        <v>170</v>
      </c>
      <c r="I58" s="14" t="s">
        <v>88</v>
      </c>
      <c r="J58" s="14" t="s">
        <v>89</v>
      </c>
      <c r="K58" s="13" t="s">
        <v>197</v>
      </c>
      <c r="L58" s="39" t="s">
        <v>198</v>
      </c>
      <c r="M58" s="111" t="s">
        <v>74</v>
      </c>
      <c r="N58" s="80"/>
      <c r="O58" s="170"/>
    </row>
    <row r="59" spans="1:15" ht="210.75">
      <c r="A59" s="54">
        <v>49</v>
      </c>
      <c r="B59" s="53" t="s">
        <v>9</v>
      </c>
      <c r="C59" s="55" t="s">
        <v>167</v>
      </c>
      <c r="D59" s="45">
        <v>49052</v>
      </c>
      <c r="E59" s="136" t="s">
        <v>199</v>
      </c>
      <c r="F59" s="52" t="str">
        <f>"T_" &amp; D59 &amp; "_" &amp; COUNTIF($D$11:D59, D59)</f>
        <v>T_49052_1</v>
      </c>
      <c r="G59" s="19" t="s">
        <v>200</v>
      </c>
      <c r="H59" s="14" t="s">
        <v>170</v>
      </c>
      <c r="I59" s="14" t="s">
        <v>88</v>
      </c>
      <c r="J59" s="14" t="s">
        <v>89</v>
      </c>
      <c r="K59" s="13" t="s">
        <v>201</v>
      </c>
      <c r="L59" s="39" t="s">
        <v>202</v>
      </c>
      <c r="M59" s="111" t="s">
        <v>74</v>
      </c>
      <c r="N59" s="80"/>
      <c r="O59" s="170"/>
    </row>
    <row r="60" spans="1:15" ht="226.5">
      <c r="A60" s="54">
        <v>50</v>
      </c>
      <c r="B60" s="64" t="s">
        <v>9</v>
      </c>
      <c r="C60" s="55" t="s">
        <v>167</v>
      </c>
      <c r="D60" s="65">
        <v>52050</v>
      </c>
      <c r="E60" s="19" t="s">
        <v>161</v>
      </c>
      <c r="F60" s="52" t="str">
        <f>"T_" &amp; D60 &amp; "_" &amp; COUNTIF($D$11:D60, D60)</f>
        <v>T_52050_1</v>
      </c>
      <c r="G60" s="46" t="s">
        <v>203</v>
      </c>
      <c r="H60" s="13" t="s">
        <v>142</v>
      </c>
      <c r="I60" s="38" t="s">
        <v>204</v>
      </c>
      <c r="J60" s="13" t="s">
        <v>205</v>
      </c>
      <c r="K60" s="13" t="s">
        <v>206</v>
      </c>
      <c r="L60" s="39" t="s">
        <v>207</v>
      </c>
      <c r="M60" s="111" t="s">
        <v>74</v>
      </c>
      <c r="N60" s="80"/>
      <c r="O60" s="170"/>
    </row>
    <row r="61" spans="1:15" ht="210.75">
      <c r="A61" s="54">
        <v>51</v>
      </c>
      <c r="B61" s="66" t="s">
        <v>9</v>
      </c>
      <c r="C61" s="55" t="s">
        <v>167</v>
      </c>
      <c r="D61" s="67">
        <v>49057</v>
      </c>
      <c r="E61" s="124" t="s">
        <v>162</v>
      </c>
      <c r="F61" s="52" t="str">
        <f>"T_" &amp; D61 &amp; "_" &amp; COUNTIF($D$11:D61, D61)</f>
        <v>T_49057_1</v>
      </c>
      <c r="G61" s="19" t="s">
        <v>208</v>
      </c>
      <c r="H61" s="14" t="s">
        <v>170</v>
      </c>
      <c r="I61" s="14" t="s">
        <v>88</v>
      </c>
      <c r="J61" s="14" t="s">
        <v>89</v>
      </c>
      <c r="K61" s="13" t="s">
        <v>201</v>
      </c>
      <c r="L61" s="39" t="s">
        <v>209</v>
      </c>
      <c r="M61" s="111" t="s">
        <v>74</v>
      </c>
      <c r="N61" s="80"/>
      <c r="O61" s="170"/>
    </row>
    <row r="62" spans="1:15" ht="64.5">
      <c r="A62" s="54">
        <v>52</v>
      </c>
      <c r="B62" s="66" t="s">
        <v>9</v>
      </c>
      <c r="C62" s="68" t="s">
        <v>210</v>
      </c>
      <c r="D62" s="69">
        <v>49058</v>
      </c>
      <c r="E62" s="39" t="s">
        <v>211</v>
      </c>
      <c r="F62" s="52" t="str">
        <f>"T_" &amp; D62 &amp; "_" &amp; COUNTIF($D$11:D62, D62)</f>
        <v>T_49058_1</v>
      </c>
      <c r="G62" s="19" t="s">
        <v>212</v>
      </c>
      <c r="H62" s="14" t="s">
        <v>170</v>
      </c>
      <c r="I62" s="14" t="s">
        <v>88</v>
      </c>
      <c r="J62" s="14" t="s">
        <v>89</v>
      </c>
      <c r="K62" s="14" t="s">
        <v>213</v>
      </c>
      <c r="L62" s="13" t="s">
        <v>214</v>
      </c>
      <c r="M62" s="111" t="s">
        <v>74</v>
      </c>
      <c r="N62" s="80"/>
      <c r="O62" s="170"/>
    </row>
    <row r="63" spans="1:15" ht="96.75">
      <c r="A63" s="54">
        <v>53</v>
      </c>
      <c r="B63" s="66" t="s">
        <v>9</v>
      </c>
      <c r="C63" s="68" t="s">
        <v>210</v>
      </c>
      <c r="D63" s="69">
        <v>49059</v>
      </c>
      <c r="E63" s="39" t="s">
        <v>215</v>
      </c>
      <c r="F63" s="52" t="str">
        <f>"T_" &amp; D63 &amp; "_" &amp; COUNTIF($D$11:D63, D63)</f>
        <v>T_49059_1</v>
      </c>
      <c r="G63" s="46" t="s">
        <v>215</v>
      </c>
      <c r="H63" s="14" t="s">
        <v>170</v>
      </c>
      <c r="I63" s="14" t="s">
        <v>88</v>
      </c>
      <c r="J63" s="14" t="s">
        <v>89</v>
      </c>
      <c r="K63" s="14" t="s">
        <v>213</v>
      </c>
      <c r="L63" s="13" t="s">
        <v>216</v>
      </c>
      <c r="M63" s="111" t="s">
        <v>74</v>
      </c>
      <c r="N63" s="80"/>
      <c r="O63" s="170"/>
    </row>
    <row r="64" spans="1:15" ht="178.5">
      <c r="A64" s="54">
        <v>54</v>
      </c>
      <c r="B64" s="66" t="s">
        <v>9</v>
      </c>
      <c r="C64" s="68" t="s">
        <v>210</v>
      </c>
      <c r="D64" s="69">
        <v>49060</v>
      </c>
      <c r="E64" s="19" t="s">
        <v>217</v>
      </c>
      <c r="F64" s="52" t="str">
        <f>"T_" &amp; D64 &amp; "_" &amp; COUNTIF($D$11:D64, D64)</f>
        <v>T_49060_1</v>
      </c>
      <c r="G64" s="19" t="s">
        <v>218</v>
      </c>
      <c r="H64" s="14" t="s">
        <v>170</v>
      </c>
      <c r="I64" s="14" t="s">
        <v>88</v>
      </c>
      <c r="J64" s="14" t="s">
        <v>89</v>
      </c>
      <c r="K64" s="14" t="s">
        <v>213</v>
      </c>
      <c r="L64" s="19" t="s">
        <v>219</v>
      </c>
      <c r="M64" s="111" t="s">
        <v>74</v>
      </c>
      <c r="N64" s="80"/>
      <c r="O64" s="170"/>
    </row>
    <row r="65" spans="1:15" ht="146.25">
      <c r="A65" s="54">
        <v>55</v>
      </c>
      <c r="B65" s="66" t="s">
        <v>9</v>
      </c>
      <c r="C65" s="68" t="s">
        <v>210</v>
      </c>
      <c r="D65" s="69">
        <v>49061</v>
      </c>
      <c r="E65" s="136" t="s">
        <v>220</v>
      </c>
      <c r="F65" s="52" t="str">
        <f>"T_" &amp; D65 &amp; "_" &amp; COUNTIF($D$11:D65, D65)</f>
        <v>T_49061_1</v>
      </c>
      <c r="G65" s="46" t="s">
        <v>220</v>
      </c>
      <c r="H65" s="14" t="s">
        <v>170</v>
      </c>
      <c r="I65" s="14" t="s">
        <v>88</v>
      </c>
      <c r="J65" s="14" t="s">
        <v>89</v>
      </c>
      <c r="K65" s="14" t="s">
        <v>213</v>
      </c>
      <c r="L65" s="19" t="s">
        <v>221</v>
      </c>
      <c r="M65" s="111" t="s">
        <v>74</v>
      </c>
      <c r="N65" s="80"/>
      <c r="O65" s="170"/>
    </row>
    <row r="66" spans="1:15" ht="178.5">
      <c r="A66" s="54">
        <v>56</v>
      </c>
      <c r="B66" s="66" t="s">
        <v>9</v>
      </c>
      <c r="C66" s="68" t="s">
        <v>210</v>
      </c>
      <c r="D66" s="69">
        <v>49062</v>
      </c>
      <c r="E66" s="19" t="s">
        <v>222</v>
      </c>
      <c r="F66" s="52" t="str">
        <f>"T_" &amp; D66 &amp; "_" &amp; COUNTIF($D$11:D66, D66)</f>
        <v>T_49062_1</v>
      </c>
      <c r="G66" s="19" t="s">
        <v>222</v>
      </c>
      <c r="H66" s="14" t="s">
        <v>170</v>
      </c>
      <c r="I66" s="14" t="s">
        <v>88</v>
      </c>
      <c r="J66" s="14" t="s">
        <v>89</v>
      </c>
      <c r="K66" s="14" t="s">
        <v>213</v>
      </c>
      <c r="L66" s="19" t="s">
        <v>223</v>
      </c>
      <c r="M66" s="111" t="s">
        <v>74</v>
      </c>
      <c r="N66" s="80"/>
      <c r="O66" s="170"/>
    </row>
    <row r="67" spans="1:15" ht="113.25">
      <c r="A67" s="54">
        <v>57</v>
      </c>
      <c r="B67" s="66" t="s">
        <v>9</v>
      </c>
      <c r="C67" s="55" t="s">
        <v>224</v>
      </c>
      <c r="D67" s="69">
        <v>49063</v>
      </c>
      <c r="E67" s="19" t="s">
        <v>225</v>
      </c>
      <c r="F67" s="52" t="str">
        <f>"T_" &amp; D67 &amp; "_" &amp; COUNTIF($D$11:D67, D67)</f>
        <v>T_49063_1</v>
      </c>
      <c r="G67" s="19" t="s">
        <v>226</v>
      </c>
      <c r="H67" s="14" t="s">
        <v>227</v>
      </c>
      <c r="I67" s="14" t="s">
        <v>88</v>
      </c>
      <c r="J67" s="14" t="s">
        <v>89</v>
      </c>
      <c r="K67" s="13" t="s">
        <v>228</v>
      </c>
      <c r="L67" s="19" t="s">
        <v>229</v>
      </c>
      <c r="M67" s="111" t="s">
        <v>74</v>
      </c>
      <c r="N67" s="80"/>
      <c r="O67" s="170"/>
    </row>
    <row r="68" spans="1:15" ht="162.75" customHeight="1">
      <c r="A68" s="54">
        <v>58</v>
      </c>
      <c r="B68" s="66" t="s">
        <v>9</v>
      </c>
      <c r="C68" s="55" t="s">
        <v>224</v>
      </c>
      <c r="D68" s="69">
        <v>49063</v>
      </c>
      <c r="E68" s="39" t="s">
        <v>225</v>
      </c>
      <c r="F68" s="52" t="str">
        <f>"T_" &amp; D68 &amp; "_" &amp; COUNTIF($D$11:D68, D68)</f>
        <v>T_49063_2</v>
      </c>
      <c r="G68" s="39" t="s">
        <v>226</v>
      </c>
      <c r="H68" s="14" t="s">
        <v>230</v>
      </c>
      <c r="I68" s="14" t="s">
        <v>88</v>
      </c>
      <c r="J68" s="14" t="s">
        <v>89</v>
      </c>
      <c r="K68" s="13" t="s">
        <v>228</v>
      </c>
      <c r="L68" s="19" t="s">
        <v>231</v>
      </c>
      <c r="M68" s="111" t="s">
        <v>74</v>
      </c>
      <c r="N68" s="80"/>
      <c r="O68" s="170"/>
    </row>
    <row r="69" spans="1:15" ht="162">
      <c r="A69" s="54">
        <v>59</v>
      </c>
      <c r="B69" s="66" t="s">
        <v>9</v>
      </c>
      <c r="C69" s="55" t="s">
        <v>224</v>
      </c>
      <c r="D69" s="69">
        <v>49064</v>
      </c>
      <c r="E69" s="39" t="s">
        <v>232</v>
      </c>
      <c r="F69" s="52" t="str">
        <f>"T_" &amp; D69 &amp; "_" &amp; COUNTIF($D$11:D69, D69)</f>
        <v>T_49064_1</v>
      </c>
      <c r="G69" s="39" t="s">
        <v>233</v>
      </c>
      <c r="H69" s="28" t="s">
        <v>230</v>
      </c>
      <c r="I69" s="14" t="s">
        <v>88</v>
      </c>
      <c r="J69" s="14" t="s">
        <v>89</v>
      </c>
      <c r="K69" s="13" t="s">
        <v>228</v>
      </c>
      <c r="L69" s="19" t="s">
        <v>234</v>
      </c>
      <c r="M69" s="111" t="s">
        <v>74</v>
      </c>
      <c r="N69" s="80"/>
      <c r="O69" s="170"/>
    </row>
    <row r="70" spans="1:15" ht="162">
      <c r="A70" s="54">
        <v>60</v>
      </c>
      <c r="B70" s="66" t="s">
        <v>9</v>
      </c>
      <c r="C70" s="55" t="s">
        <v>224</v>
      </c>
      <c r="D70" s="45">
        <v>49065</v>
      </c>
      <c r="E70" s="19" t="s">
        <v>235</v>
      </c>
      <c r="F70" s="52" t="str">
        <f>"T_" &amp; D70 &amp; "_" &amp; COUNTIF($D$11:D70, D70)</f>
        <v>T_49065_1</v>
      </c>
      <c r="G70" s="39" t="s">
        <v>236</v>
      </c>
      <c r="H70" s="47" t="s">
        <v>230</v>
      </c>
      <c r="I70" s="14" t="s">
        <v>88</v>
      </c>
      <c r="J70" s="14" t="s">
        <v>89</v>
      </c>
      <c r="K70" s="13" t="s">
        <v>228</v>
      </c>
      <c r="L70" s="19" t="s">
        <v>234</v>
      </c>
      <c r="M70" s="111" t="s">
        <v>74</v>
      </c>
      <c r="N70" s="80"/>
      <c r="O70" s="170"/>
    </row>
    <row r="71" spans="1:15" ht="162">
      <c r="A71" s="54">
        <v>61</v>
      </c>
      <c r="B71" s="66" t="s">
        <v>9</v>
      </c>
      <c r="C71" s="55" t="s">
        <v>224</v>
      </c>
      <c r="D71" s="45">
        <v>49065</v>
      </c>
      <c r="E71" s="136" t="s">
        <v>235</v>
      </c>
      <c r="F71" s="52" t="str">
        <f>"T_" &amp; D71 &amp; "_" &amp; COUNTIF($D$11:D71, D71)</f>
        <v>T_49065_2</v>
      </c>
      <c r="G71" s="39" t="s">
        <v>236</v>
      </c>
      <c r="H71" s="28" t="s">
        <v>227</v>
      </c>
      <c r="I71" s="28" t="s">
        <v>88</v>
      </c>
      <c r="J71" s="14" t="s">
        <v>89</v>
      </c>
      <c r="K71" s="13" t="s">
        <v>228</v>
      </c>
      <c r="L71" s="19" t="s">
        <v>234</v>
      </c>
      <c r="M71" s="111" t="s">
        <v>74</v>
      </c>
      <c r="N71" s="80"/>
      <c r="O71" s="170"/>
    </row>
    <row r="72" spans="1:15" ht="162">
      <c r="A72" s="54">
        <v>62</v>
      </c>
      <c r="B72" s="66" t="s">
        <v>9</v>
      </c>
      <c r="C72" s="55" t="s">
        <v>224</v>
      </c>
      <c r="D72" s="45">
        <v>49066</v>
      </c>
      <c r="E72" s="19" t="s">
        <v>237</v>
      </c>
      <c r="F72" s="52" t="str">
        <f>"T_" &amp; D72 &amp; "_" &amp; COUNTIF($D$11:D72, D72)</f>
        <v>T_49066_1</v>
      </c>
      <c r="G72" s="19" t="s">
        <v>238</v>
      </c>
      <c r="H72" s="47" t="s">
        <v>230</v>
      </c>
      <c r="I72" s="14" t="s">
        <v>88</v>
      </c>
      <c r="J72" s="14" t="s">
        <v>89</v>
      </c>
      <c r="K72" s="13" t="s">
        <v>228</v>
      </c>
      <c r="L72" s="19" t="s">
        <v>239</v>
      </c>
      <c r="M72" s="111" t="s">
        <v>74</v>
      </c>
      <c r="N72" s="80"/>
      <c r="O72" s="170"/>
    </row>
    <row r="73" spans="1:15" ht="172.5" customHeight="1">
      <c r="A73" s="54">
        <v>63</v>
      </c>
      <c r="B73" s="66" t="s">
        <v>9</v>
      </c>
      <c r="C73" s="55" t="s">
        <v>224</v>
      </c>
      <c r="D73" s="45">
        <v>49066</v>
      </c>
      <c r="E73" s="136" t="s">
        <v>237</v>
      </c>
      <c r="F73" s="52" t="str">
        <f>"T_" &amp; D73 &amp; "_" &amp; COUNTIF($D$11:D73, D73)</f>
        <v>T_49066_2</v>
      </c>
      <c r="G73" s="39" t="s">
        <v>238</v>
      </c>
      <c r="H73" s="47" t="s">
        <v>227</v>
      </c>
      <c r="I73" s="14" t="s">
        <v>88</v>
      </c>
      <c r="J73" s="14" t="s">
        <v>89</v>
      </c>
      <c r="K73" s="13" t="s">
        <v>240</v>
      </c>
      <c r="L73" s="19" t="s">
        <v>239</v>
      </c>
      <c r="M73" s="111" t="s">
        <v>74</v>
      </c>
      <c r="N73" s="80"/>
      <c r="O73" s="170"/>
    </row>
    <row r="74" spans="1:15" ht="194.25">
      <c r="A74" s="54">
        <v>64</v>
      </c>
      <c r="B74" s="66" t="s">
        <v>9</v>
      </c>
      <c r="C74" s="55" t="s">
        <v>224</v>
      </c>
      <c r="D74" s="45">
        <v>49067</v>
      </c>
      <c r="E74" s="19" t="s">
        <v>241</v>
      </c>
      <c r="F74" s="52" t="str">
        <f>"T_" &amp; D74 &amp; "_" &amp; COUNTIF($D$11:D74, D74)</f>
        <v>T_49067_1</v>
      </c>
      <c r="G74" s="19" t="s">
        <v>242</v>
      </c>
      <c r="H74" s="47" t="s">
        <v>230</v>
      </c>
      <c r="I74" s="14" t="s">
        <v>88</v>
      </c>
      <c r="J74" s="14" t="s">
        <v>89</v>
      </c>
      <c r="K74" s="13" t="s">
        <v>243</v>
      </c>
      <c r="L74" s="19" t="s">
        <v>244</v>
      </c>
      <c r="M74" s="111" t="s">
        <v>74</v>
      </c>
      <c r="N74" s="80"/>
      <c r="O74" s="170"/>
    </row>
    <row r="75" spans="1:15" ht="194.25">
      <c r="A75" s="54">
        <v>65</v>
      </c>
      <c r="B75" s="66" t="s">
        <v>9</v>
      </c>
      <c r="C75" s="55" t="s">
        <v>224</v>
      </c>
      <c r="D75" s="45">
        <v>49067</v>
      </c>
      <c r="E75" s="39" t="s">
        <v>241</v>
      </c>
      <c r="F75" s="52" t="str">
        <f>"T_" &amp; D75 &amp; "_" &amp; COUNTIF($D$11:D75, D75)</f>
        <v>T_49067_2</v>
      </c>
      <c r="G75" s="19" t="s">
        <v>242</v>
      </c>
      <c r="H75" s="47" t="s">
        <v>227</v>
      </c>
      <c r="I75" s="14" t="s">
        <v>88</v>
      </c>
      <c r="J75" s="14" t="s">
        <v>89</v>
      </c>
      <c r="K75" s="13" t="s">
        <v>243</v>
      </c>
      <c r="L75" s="19" t="s">
        <v>244</v>
      </c>
      <c r="M75" s="111" t="s">
        <v>74</v>
      </c>
      <c r="N75" s="80"/>
      <c r="O75" s="170"/>
    </row>
    <row r="76" spans="1:15" ht="194.25">
      <c r="A76" s="54">
        <v>66</v>
      </c>
      <c r="B76" s="66" t="s">
        <v>9</v>
      </c>
      <c r="C76" s="55" t="s">
        <v>224</v>
      </c>
      <c r="D76" s="45">
        <v>49067</v>
      </c>
      <c r="E76" s="39" t="s">
        <v>241</v>
      </c>
      <c r="F76" s="52" t="str">
        <f>"T_" &amp; D76 &amp; "_" &amp; COUNTIF($D$11:D76, D76)</f>
        <v>T_49067_3</v>
      </c>
      <c r="G76" s="19" t="s">
        <v>242</v>
      </c>
      <c r="H76" s="47" t="s">
        <v>230</v>
      </c>
      <c r="I76" s="14" t="s">
        <v>88</v>
      </c>
      <c r="J76" s="14" t="s">
        <v>89</v>
      </c>
      <c r="K76" s="13" t="s">
        <v>245</v>
      </c>
      <c r="L76" s="19" t="s">
        <v>246</v>
      </c>
      <c r="M76" s="111" t="s">
        <v>74</v>
      </c>
      <c r="N76" s="80"/>
      <c r="O76" s="170"/>
    </row>
    <row r="77" spans="1:15" ht="194.25">
      <c r="A77" s="54">
        <v>67</v>
      </c>
      <c r="B77" s="66" t="s">
        <v>9</v>
      </c>
      <c r="C77" s="55" t="s">
        <v>224</v>
      </c>
      <c r="D77" s="45">
        <v>49067</v>
      </c>
      <c r="E77" s="19" t="s">
        <v>241</v>
      </c>
      <c r="F77" s="52" t="str">
        <f>"T_" &amp; D77 &amp; "_" &amp; COUNTIF($D$11:D77, D77)</f>
        <v>T_49067_4</v>
      </c>
      <c r="G77" s="19" t="s">
        <v>242</v>
      </c>
      <c r="H77" s="47" t="s">
        <v>227</v>
      </c>
      <c r="I77" s="14" t="s">
        <v>88</v>
      </c>
      <c r="J77" s="14" t="s">
        <v>89</v>
      </c>
      <c r="K77" s="13" t="s">
        <v>245</v>
      </c>
      <c r="L77" s="19" t="s">
        <v>246</v>
      </c>
      <c r="M77" s="111" t="s">
        <v>74</v>
      </c>
      <c r="N77" s="80"/>
      <c r="O77" s="170"/>
    </row>
    <row r="78" spans="1:15" ht="194.25">
      <c r="A78" s="54">
        <v>68</v>
      </c>
      <c r="B78" s="66" t="s">
        <v>9</v>
      </c>
      <c r="C78" s="55" t="s">
        <v>224</v>
      </c>
      <c r="D78" s="45">
        <v>49067</v>
      </c>
      <c r="E78" s="136" t="s">
        <v>241</v>
      </c>
      <c r="F78" s="52" t="str">
        <f>"T_" &amp; D78 &amp; "_" &amp; COUNTIF($D$11:D78, D78)</f>
        <v>T_49067_5</v>
      </c>
      <c r="G78" s="19" t="s">
        <v>242</v>
      </c>
      <c r="H78" s="47" t="s">
        <v>230</v>
      </c>
      <c r="I78" s="14" t="s">
        <v>88</v>
      </c>
      <c r="J78" s="14" t="s">
        <v>89</v>
      </c>
      <c r="K78" s="13" t="s">
        <v>247</v>
      </c>
      <c r="L78" s="19" t="s">
        <v>246</v>
      </c>
      <c r="M78" s="111" t="s">
        <v>74</v>
      </c>
      <c r="N78" s="80"/>
      <c r="O78" s="170"/>
    </row>
    <row r="79" spans="1:15" ht="194.25">
      <c r="A79" s="54">
        <v>69</v>
      </c>
      <c r="B79" s="66" t="s">
        <v>9</v>
      </c>
      <c r="C79" s="55" t="s">
        <v>224</v>
      </c>
      <c r="D79" s="45">
        <v>49067</v>
      </c>
      <c r="E79" s="39" t="s">
        <v>241</v>
      </c>
      <c r="F79" s="52" t="str">
        <f>"T_" &amp; D79 &amp; "_" &amp; COUNTIF($D$11:D79, D79)</f>
        <v>T_49067_6</v>
      </c>
      <c r="G79" s="19" t="s">
        <v>242</v>
      </c>
      <c r="H79" s="47" t="s">
        <v>227</v>
      </c>
      <c r="I79" s="14" t="s">
        <v>88</v>
      </c>
      <c r="J79" s="14" t="s">
        <v>89</v>
      </c>
      <c r="K79" s="13" t="s">
        <v>247</v>
      </c>
      <c r="L79" s="19" t="s">
        <v>246</v>
      </c>
      <c r="M79" s="111" t="s">
        <v>74</v>
      </c>
      <c r="N79" s="80"/>
      <c r="O79" s="170"/>
    </row>
    <row r="80" spans="1:15" ht="194.25">
      <c r="A80" s="54">
        <v>70</v>
      </c>
      <c r="B80" s="66" t="s">
        <v>9</v>
      </c>
      <c r="C80" s="55" t="s">
        <v>224</v>
      </c>
      <c r="D80" s="45">
        <v>49067</v>
      </c>
      <c r="E80" s="39" t="s">
        <v>241</v>
      </c>
      <c r="F80" s="52" t="str">
        <f>"T_" &amp; D80 &amp; "_" &amp; COUNTIF($D$11:D80, D80)</f>
        <v>T_49067_7</v>
      </c>
      <c r="G80" s="19" t="s">
        <v>242</v>
      </c>
      <c r="H80" s="47" t="s">
        <v>227</v>
      </c>
      <c r="I80" s="14" t="s">
        <v>88</v>
      </c>
      <c r="J80" s="14" t="s">
        <v>89</v>
      </c>
      <c r="K80" s="13" t="s">
        <v>248</v>
      </c>
      <c r="L80" s="118" t="s">
        <v>249</v>
      </c>
      <c r="M80" s="111" t="s">
        <v>74</v>
      </c>
      <c r="N80" s="80"/>
      <c r="O80" s="170"/>
    </row>
    <row r="81" spans="1:15" ht="194.25">
      <c r="A81" s="54">
        <v>71</v>
      </c>
      <c r="B81" s="66" t="s">
        <v>9</v>
      </c>
      <c r="C81" s="55" t="s">
        <v>224</v>
      </c>
      <c r="D81" s="45">
        <v>49067</v>
      </c>
      <c r="E81" s="39" t="s">
        <v>241</v>
      </c>
      <c r="F81" s="52" t="str">
        <f>"T_" &amp; D81 &amp; "_" &amp; COUNTIF($D$11:D81, D81)</f>
        <v>T_49067_8</v>
      </c>
      <c r="G81" s="19" t="s">
        <v>242</v>
      </c>
      <c r="H81" s="47" t="s">
        <v>230</v>
      </c>
      <c r="I81" s="14" t="s">
        <v>88</v>
      </c>
      <c r="J81" s="14" t="s">
        <v>89</v>
      </c>
      <c r="K81" s="13" t="s">
        <v>248</v>
      </c>
      <c r="L81" s="19" t="s">
        <v>250</v>
      </c>
      <c r="M81" s="111" t="s">
        <v>74</v>
      </c>
      <c r="N81" s="80"/>
      <c r="O81" s="170"/>
    </row>
    <row r="82" spans="1:15" ht="194.25">
      <c r="A82" s="54">
        <v>72</v>
      </c>
      <c r="B82" s="66" t="s">
        <v>9</v>
      </c>
      <c r="C82" s="55" t="s">
        <v>224</v>
      </c>
      <c r="D82" s="45">
        <v>49067</v>
      </c>
      <c r="E82" s="19" t="s">
        <v>241</v>
      </c>
      <c r="F82" s="52" t="str">
        <f>"T_" &amp; D82 &amp; "_" &amp; COUNTIF($D$11:D82, D82)</f>
        <v>T_49067_9</v>
      </c>
      <c r="G82" s="19" t="s">
        <v>242</v>
      </c>
      <c r="H82" s="47" t="s">
        <v>251</v>
      </c>
      <c r="I82" s="14" t="s">
        <v>88</v>
      </c>
      <c r="J82" s="14" t="s">
        <v>89</v>
      </c>
      <c r="K82" s="13" t="s">
        <v>252</v>
      </c>
      <c r="L82" s="19" t="s">
        <v>250</v>
      </c>
      <c r="M82" s="111" t="s">
        <v>74</v>
      </c>
      <c r="N82" s="80"/>
      <c r="O82" s="170"/>
    </row>
    <row r="83" spans="1:15" ht="194.25">
      <c r="A83" s="54">
        <v>73</v>
      </c>
      <c r="B83" s="66" t="s">
        <v>9</v>
      </c>
      <c r="C83" s="55" t="s">
        <v>224</v>
      </c>
      <c r="D83" s="45">
        <v>49067</v>
      </c>
      <c r="E83" s="39" t="s">
        <v>241</v>
      </c>
      <c r="F83" s="52" t="str">
        <f>"T_" &amp; D83 &amp; "_" &amp; COUNTIF($D$11:D83, D83)</f>
        <v>T_49067_10</v>
      </c>
      <c r="G83" s="19" t="s">
        <v>242</v>
      </c>
      <c r="H83" s="47" t="s">
        <v>251</v>
      </c>
      <c r="I83" s="14" t="s">
        <v>88</v>
      </c>
      <c r="J83" s="14" t="s">
        <v>89</v>
      </c>
      <c r="K83" s="13" t="s">
        <v>253</v>
      </c>
      <c r="L83" s="19" t="s">
        <v>250</v>
      </c>
      <c r="M83" s="111" t="s">
        <v>74</v>
      </c>
      <c r="N83" s="80"/>
      <c r="O83" s="170"/>
    </row>
    <row r="84" spans="1:15" ht="194.25">
      <c r="A84" s="54">
        <v>74</v>
      </c>
      <c r="B84" s="66" t="s">
        <v>9</v>
      </c>
      <c r="C84" s="55" t="s">
        <v>224</v>
      </c>
      <c r="D84" s="45">
        <v>49067</v>
      </c>
      <c r="E84" s="19" t="s">
        <v>241</v>
      </c>
      <c r="F84" s="52" t="str">
        <f>"T_" &amp; D84 &amp; "_" &amp; COUNTIF($D$11:D84, D84)</f>
        <v>T_49067_11</v>
      </c>
      <c r="G84" s="19" t="s">
        <v>242</v>
      </c>
      <c r="H84" s="47" t="s">
        <v>251</v>
      </c>
      <c r="I84" s="14" t="s">
        <v>88</v>
      </c>
      <c r="J84" s="14" t="s">
        <v>89</v>
      </c>
      <c r="K84" s="13" t="s">
        <v>254</v>
      </c>
      <c r="L84" s="19" t="s">
        <v>250</v>
      </c>
      <c r="M84" s="111" t="s">
        <v>74</v>
      </c>
      <c r="N84" s="80"/>
      <c r="O84" s="170"/>
    </row>
    <row r="85" spans="1:15" ht="194.25">
      <c r="A85" s="54">
        <v>75</v>
      </c>
      <c r="B85" s="66" t="s">
        <v>9</v>
      </c>
      <c r="C85" s="55" t="s">
        <v>224</v>
      </c>
      <c r="D85" s="45">
        <v>49067</v>
      </c>
      <c r="E85" s="136" t="s">
        <v>241</v>
      </c>
      <c r="F85" s="84" t="str">
        <f>"T_" &amp; D85 &amp; "_" &amp; COUNTIF($D$11:D85, D85)</f>
        <v>T_49067_12</v>
      </c>
      <c r="G85" s="39" t="s">
        <v>242</v>
      </c>
      <c r="H85" s="47" t="s">
        <v>251</v>
      </c>
      <c r="I85" s="14" t="s">
        <v>88</v>
      </c>
      <c r="J85" s="14" t="s">
        <v>89</v>
      </c>
      <c r="K85" s="13" t="s">
        <v>255</v>
      </c>
      <c r="L85" s="19" t="s">
        <v>250</v>
      </c>
      <c r="M85" s="111" t="s">
        <v>74</v>
      </c>
      <c r="N85" s="80"/>
      <c r="O85" s="170"/>
    </row>
    <row r="86" spans="1:15" ht="275.25">
      <c r="A86" s="54">
        <v>76</v>
      </c>
      <c r="B86" s="66" t="s">
        <v>9</v>
      </c>
      <c r="C86" s="55" t="s">
        <v>224</v>
      </c>
      <c r="D86" s="146">
        <v>49068</v>
      </c>
      <c r="E86" s="147" t="s">
        <v>195</v>
      </c>
      <c r="F86" s="131" t="str">
        <f>"T_" &amp; D86 &amp; "_" &amp; COUNTIF($D$11:D86, D86)</f>
        <v>T_49068_1</v>
      </c>
      <c r="G86" s="83" t="s">
        <v>256</v>
      </c>
      <c r="H86" s="47" t="s">
        <v>251</v>
      </c>
      <c r="I86" s="14" t="s">
        <v>88</v>
      </c>
      <c r="J86" s="14" t="s">
        <v>89</v>
      </c>
      <c r="K86" s="13" t="s">
        <v>257</v>
      </c>
      <c r="L86" s="19" t="s">
        <v>258</v>
      </c>
      <c r="M86" s="111" t="s">
        <v>74</v>
      </c>
      <c r="N86" s="80"/>
      <c r="O86" s="170"/>
    </row>
    <row r="87" spans="1:15" ht="123.75" customHeight="1">
      <c r="A87" s="54">
        <v>77</v>
      </c>
      <c r="B87" s="14" t="s">
        <v>259</v>
      </c>
      <c r="C87" s="165" t="s">
        <v>260</v>
      </c>
      <c r="D87" s="14">
        <v>49231</v>
      </c>
      <c r="E87" s="148" t="s">
        <v>261</v>
      </c>
      <c r="F87" s="17" t="str">
        <f>"T_" &amp; D87 &amp; "_" &amp; COUNTIF($D$11:D87, D87)</f>
        <v>T_49231_1</v>
      </c>
      <c r="G87" s="38" t="s">
        <v>262</v>
      </c>
      <c r="H87" s="13" t="s">
        <v>263</v>
      </c>
      <c r="I87" s="13" t="s">
        <v>264</v>
      </c>
      <c r="J87" s="13" t="s">
        <v>265</v>
      </c>
      <c r="K87" s="13" t="s">
        <v>266</v>
      </c>
      <c r="L87" s="13" t="s">
        <v>267</v>
      </c>
      <c r="M87" s="111" t="s">
        <v>74</v>
      </c>
      <c r="N87" s="80"/>
      <c r="O87" s="170"/>
    </row>
    <row r="88" spans="1:15" ht="183.75" customHeight="1">
      <c r="A88" s="54">
        <v>78</v>
      </c>
      <c r="B88" s="14" t="s">
        <v>259</v>
      </c>
      <c r="C88" s="165" t="s">
        <v>260</v>
      </c>
      <c r="D88" s="14">
        <v>49231</v>
      </c>
      <c r="E88" s="150" t="s">
        <v>261</v>
      </c>
      <c r="F88" s="17" t="str">
        <f>"T_" &amp; D88 &amp; "_" &amp; COUNTIF($D$11:D88, D88)</f>
        <v>T_49231_2</v>
      </c>
      <c r="G88" s="13" t="s">
        <v>262</v>
      </c>
      <c r="H88" s="151" t="s">
        <v>268</v>
      </c>
      <c r="I88" s="13" t="s">
        <v>269</v>
      </c>
      <c r="J88" s="13" t="s">
        <v>270</v>
      </c>
      <c r="K88" s="13" t="s">
        <v>271</v>
      </c>
      <c r="L88" s="13" t="s">
        <v>272</v>
      </c>
      <c r="M88" s="111" t="s">
        <v>74</v>
      </c>
      <c r="N88" s="80"/>
      <c r="O88" s="170"/>
    </row>
    <row r="89" spans="1:15" ht="210.75">
      <c r="A89" s="54">
        <v>79</v>
      </c>
      <c r="B89" s="14" t="s">
        <v>259</v>
      </c>
      <c r="C89" s="165" t="s">
        <v>260</v>
      </c>
      <c r="D89" s="14">
        <v>49231</v>
      </c>
      <c r="E89" s="150" t="s">
        <v>261</v>
      </c>
      <c r="F89" s="17" t="str">
        <f>"T_" &amp; D89 &amp; "_" &amp; COUNTIF($D$11:D89, D89)</f>
        <v>T_49231_3</v>
      </c>
      <c r="G89" s="13" t="s">
        <v>273</v>
      </c>
      <c r="H89" s="151" t="s">
        <v>268</v>
      </c>
      <c r="I89" s="13" t="s">
        <v>269</v>
      </c>
      <c r="J89" s="13" t="s">
        <v>270</v>
      </c>
      <c r="K89" s="13" t="s">
        <v>274</v>
      </c>
      <c r="L89" s="13" t="s">
        <v>272</v>
      </c>
      <c r="M89" s="111" t="s">
        <v>74</v>
      </c>
      <c r="N89" s="80"/>
      <c r="O89" s="170"/>
    </row>
    <row r="90" spans="1:15" ht="146.25">
      <c r="A90" s="54">
        <v>80</v>
      </c>
      <c r="B90" s="14" t="s">
        <v>259</v>
      </c>
      <c r="C90" s="165" t="s">
        <v>260</v>
      </c>
      <c r="D90" s="14">
        <v>49231</v>
      </c>
      <c r="E90" s="148" t="s">
        <v>275</v>
      </c>
      <c r="F90" s="17" t="str">
        <f>"T_" &amp; D90 &amp; "_" &amp; COUNTIF($D$11:D90, D90)</f>
        <v>T_49231_4</v>
      </c>
      <c r="G90" s="38" t="s">
        <v>276</v>
      </c>
      <c r="H90" s="13" t="s">
        <v>263</v>
      </c>
      <c r="I90" s="13" t="s">
        <v>264</v>
      </c>
      <c r="J90" s="13" t="s">
        <v>265</v>
      </c>
      <c r="K90" s="13" t="s">
        <v>277</v>
      </c>
      <c r="L90" s="13" t="s">
        <v>267</v>
      </c>
      <c r="M90" s="111" t="s">
        <v>74</v>
      </c>
      <c r="N90" s="80"/>
      <c r="O90" s="170"/>
    </row>
    <row r="91" spans="1:15" ht="210.75">
      <c r="A91" s="54">
        <v>81</v>
      </c>
      <c r="B91" s="14" t="s">
        <v>259</v>
      </c>
      <c r="C91" s="165" t="s">
        <v>260</v>
      </c>
      <c r="D91" s="14">
        <v>49231</v>
      </c>
      <c r="E91" s="150" t="s">
        <v>275</v>
      </c>
      <c r="F91" s="17" t="str">
        <f>"T_" &amp; D91 &amp; "_" &amp; COUNTIF($D$11:D91, D91)</f>
        <v>T_49231_5</v>
      </c>
      <c r="G91" s="38" t="s">
        <v>276</v>
      </c>
      <c r="H91" s="151" t="s">
        <v>268</v>
      </c>
      <c r="I91" s="13" t="s">
        <v>269</v>
      </c>
      <c r="J91" s="13" t="s">
        <v>270</v>
      </c>
      <c r="K91" s="13" t="s">
        <v>278</v>
      </c>
      <c r="L91" s="13" t="s">
        <v>272</v>
      </c>
      <c r="M91" s="111" t="s">
        <v>74</v>
      </c>
      <c r="N91" s="80"/>
      <c r="O91" s="170"/>
    </row>
    <row r="92" spans="1:15" ht="210.75">
      <c r="A92" s="54">
        <v>82</v>
      </c>
      <c r="B92" s="14" t="s">
        <v>259</v>
      </c>
      <c r="C92" s="165" t="s">
        <v>260</v>
      </c>
      <c r="D92" s="14">
        <v>49231</v>
      </c>
      <c r="E92" s="150" t="s">
        <v>275</v>
      </c>
      <c r="F92" s="17" t="str">
        <f>"T_" &amp; D92 &amp; "_" &amp; COUNTIF($D$11:D92, D92)</f>
        <v>T_49231_6</v>
      </c>
      <c r="G92" s="38" t="s">
        <v>279</v>
      </c>
      <c r="H92" s="151" t="s">
        <v>280</v>
      </c>
      <c r="I92" s="13" t="s">
        <v>269</v>
      </c>
      <c r="J92" s="13" t="s">
        <v>270</v>
      </c>
      <c r="K92" s="13" t="s">
        <v>281</v>
      </c>
      <c r="L92" s="13" t="s">
        <v>272</v>
      </c>
      <c r="M92" s="111" t="s">
        <v>74</v>
      </c>
      <c r="N92" s="80"/>
      <c r="O92" s="170"/>
    </row>
    <row r="93" spans="1:15" ht="146.25">
      <c r="A93" s="54">
        <v>83</v>
      </c>
      <c r="B93" s="14" t="s">
        <v>259</v>
      </c>
      <c r="C93" s="165" t="s">
        <v>260</v>
      </c>
      <c r="D93" s="14">
        <v>49231</v>
      </c>
      <c r="E93" s="148" t="s">
        <v>282</v>
      </c>
      <c r="F93" s="17" t="str">
        <f>"T_" &amp; D93 &amp; "_" &amp; COUNTIF($D$11:D93, D93)</f>
        <v>T_49231_7</v>
      </c>
      <c r="G93" s="38" t="s">
        <v>283</v>
      </c>
      <c r="H93" s="13" t="s">
        <v>263</v>
      </c>
      <c r="I93" s="13" t="s">
        <v>264</v>
      </c>
      <c r="J93" s="13" t="s">
        <v>265</v>
      </c>
      <c r="K93" s="13" t="s">
        <v>284</v>
      </c>
      <c r="L93" s="13" t="s">
        <v>267</v>
      </c>
      <c r="M93" s="111" t="s">
        <v>74</v>
      </c>
      <c r="N93" s="80"/>
      <c r="O93" s="170"/>
    </row>
    <row r="94" spans="1:15" ht="210.75">
      <c r="A94" s="54">
        <v>84</v>
      </c>
      <c r="B94" s="14" t="s">
        <v>259</v>
      </c>
      <c r="C94" s="165" t="s">
        <v>260</v>
      </c>
      <c r="D94" s="14">
        <v>49231</v>
      </c>
      <c r="E94" s="150" t="s">
        <v>282</v>
      </c>
      <c r="F94" s="17" t="str">
        <f>"T_" &amp; D94 &amp; "_" &amp; COUNTIF($D$11:D94, D94)</f>
        <v>T_49231_8</v>
      </c>
      <c r="G94" s="38" t="s">
        <v>283</v>
      </c>
      <c r="H94" s="151" t="s">
        <v>268</v>
      </c>
      <c r="I94" s="13" t="s">
        <v>269</v>
      </c>
      <c r="J94" s="13" t="s">
        <v>270</v>
      </c>
      <c r="K94" s="13" t="s">
        <v>285</v>
      </c>
      <c r="L94" s="13" t="s">
        <v>286</v>
      </c>
      <c r="M94" s="111" t="s">
        <v>74</v>
      </c>
      <c r="N94" s="80"/>
      <c r="O94" s="170"/>
    </row>
    <row r="95" spans="1:15" ht="210.75">
      <c r="A95" s="54">
        <v>85</v>
      </c>
      <c r="B95" s="14" t="s">
        <v>259</v>
      </c>
      <c r="C95" s="165" t="s">
        <v>260</v>
      </c>
      <c r="D95" s="14">
        <v>49231</v>
      </c>
      <c r="E95" s="150" t="s">
        <v>282</v>
      </c>
      <c r="F95" s="17" t="str">
        <f>"T_" &amp; D95 &amp; "_" &amp; COUNTIF($D$11:D95, D95)</f>
        <v>T_49231_9</v>
      </c>
      <c r="G95" s="38" t="s">
        <v>287</v>
      </c>
      <c r="H95" s="151" t="s">
        <v>268</v>
      </c>
      <c r="I95" s="13" t="s">
        <v>269</v>
      </c>
      <c r="J95" s="13" t="s">
        <v>270</v>
      </c>
      <c r="K95" s="13" t="s">
        <v>288</v>
      </c>
      <c r="L95" s="13" t="s">
        <v>272</v>
      </c>
      <c r="M95" s="111" t="s">
        <v>74</v>
      </c>
      <c r="N95" s="80"/>
      <c r="O95" s="170"/>
    </row>
    <row r="96" spans="1:15" ht="146.25">
      <c r="A96" s="54">
        <v>86</v>
      </c>
      <c r="B96" s="14" t="s">
        <v>259</v>
      </c>
      <c r="C96" s="165" t="s">
        <v>260</v>
      </c>
      <c r="D96" s="14">
        <v>49231</v>
      </c>
      <c r="E96" s="148" t="s">
        <v>289</v>
      </c>
      <c r="F96" s="17" t="str">
        <f>"T_" &amp; D96 &amp; "_" &amp; COUNTIF($D$11:D96, D96)</f>
        <v>T_49231_10</v>
      </c>
      <c r="G96" s="38" t="s">
        <v>290</v>
      </c>
      <c r="H96" s="13" t="s">
        <v>263</v>
      </c>
      <c r="I96" s="13" t="s">
        <v>291</v>
      </c>
      <c r="J96" s="13" t="s">
        <v>265</v>
      </c>
      <c r="K96" s="13" t="s">
        <v>292</v>
      </c>
      <c r="L96" s="13" t="s">
        <v>267</v>
      </c>
      <c r="M96" s="111" t="s">
        <v>74</v>
      </c>
      <c r="N96" s="80"/>
      <c r="O96" s="170"/>
    </row>
    <row r="97" spans="1:15" ht="210.75">
      <c r="A97" s="54">
        <v>87</v>
      </c>
      <c r="B97" s="14" t="s">
        <v>259</v>
      </c>
      <c r="C97" s="165" t="s">
        <v>260</v>
      </c>
      <c r="D97" s="14">
        <v>49231</v>
      </c>
      <c r="E97" s="150" t="s">
        <v>289</v>
      </c>
      <c r="F97" s="17" t="str">
        <f>"T_" &amp; D97 &amp; "_" &amp; COUNTIF($D$11:D97, D97)</f>
        <v>T_49231_11</v>
      </c>
      <c r="G97" s="38" t="s">
        <v>290</v>
      </c>
      <c r="H97" s="151" t="s">
        <v>268</v>
      </c>
      <c r="I97" s="13" t="s">
        <v>269</v>
      </c>
      <c r="J97" s="13" t="s">
        <v>270</v>
      </c>
      <c r="K97" s="13" t="s">
        <v>293</v>
      </c>
      <c r="L97" s="13" t="s">
        <v>286</v>
      </c>
      <c r="M97" s="111" t="s">
        <v>74</v>
      </c>
      <c r="N97" s="80"/>
      <c r="O97" s="170"/>
    </row>
    <row r="98" spans="1:15" s="158" customFormat="1" ht="210.75">
      <c r="A98" s="54">
        <v>88</v>
      </c>
      <c r="B98" s="152" t="s">
        <v>259</v>
      </c>
      <c r="C98" s="166" t="s">
        <v>260</v>
      </c>
      <c r="D98" s="152">
        <v>49231</v>
      </c>
      <c r="E98" s="153" t="s">
        <v>289</v>
      </c>
      <c r="F98" s="154" t="str">
        <f>"T_" &amp; D98 &amp; "_" &amp; COUNTIF($D$11:D98, D98)</f>
        <v>T_49231_12</v>
      </c>
      <c r="G98" s="181" t="s">
        <v>294</v>
      </c>
      <c r="H98" s="155" t="s">
        <v>268</v>
      </c>
      <c r="I98" s="156" t="s">
        <v>269</v>
      </c>
      <c r="J98" s="156" t="s">
        <v>270</v>
      </c>
      <c r="K98" s="156" t="s">
        <v>295</v>
      </c>
      <c r="L98" s="156" t="s">
        <v>286</v>
      </c>
      <c r="M98" s="111" t="s">
        <v>74</v>
      </c>
      <c r="N98" s="157"/>
      <c r="O98" s="171"/>
    </row>
    <row r="99" spans="1:15" ht="146.25">
      <c r="A99" s="54">
        <v>89</v>
      </c>
      <c r="B99" s="14" t="s">
        <v>259</v>
      </c>
      <c r="C99" s="165" t="s">
        <v>260</v>
      </c>
      <c r="D99" s="14">
        <v>49231</v>
      </c>
      <c r="E99" s="148" t="s">
        <v>296</v>
      </c>
      <c r="F99" s="17" t="str">
        <f>"T_" &amp; D99 &amp; "_" &amp; COUNTIF($D$11:D99, D99)</f>
        <v>T_49231_13</v>
      </c>
      <c r="G99" s="38" t="s">
        <v>297</v>
      </c>
      <c r="H99" s="13" t="s">
        <v>263</v>
      </c>
      <c r="I99" s="13" t="s">
        <v>298</v>
      </c>
      <c r="J99" s="13" t="s">
        <v>265</v>
      </c>
      <c r="K99" s="13" t="s">
        <v>299</v>
      </c>
      <c r="L99" s="13" t="s">
        <v>267</v>
      </c>
      <c r="M99" s="111" t="s">
        <v>74</v>
      </c>
      <c r="N99" s="80"/>
      <c r="O99" s="170"/>
    </row>
    <row r="100" spans="1:15" ht="210.75">
      <c r="A100" s="54">
        <v>90</v>
      </c>
      <c r="B100" s="14" t="s">
        <v>259</v>
      </c>
      <c r="C100" s="165" t="s">
        <v>260</v>
      </c>
      <c r="D100" s="14">
        <v>49231</v>
      </c>
      <c r="E100" s="150" t="s">
        <v>296</v>
      </c>
      <c r="F100" s="17" t="str">
        <f>"T_" &amp; D100 &amp; "_" &amp; COUNTIF($D$11:D100, D100)</f>
        <v>T_49231_14</v>
      </c>
      <c r="G100" s="38" t="s">
        <v>297</v>
      </c>
      <c r="H100" s="151" t="s">
        <v>268</v>
      </c>
      <c r="I100" s="13" t="s">
        <v>269</v>
      </c>
      <c r="J100" s="13" t="s">
        <v>270</v>
      </c>
      <c r="K100" s="13" t="s">
        <v>300</v>
      </c>
      <c r="L100" s="13" t="s">
        <v>286</v>
      </c>
      <c r="M100" s="111" t="s">
        <v>74</v>
      </c>
      <c r="N100" s="80"/>
      <c r="O100" s="170"/>
    </row>
    <row r="101" spans="1:15" s="158" customFormat="1" ht="210.75">
      <c r="A101" s="54">
        <v>91</v>
      </c>
      <c r="B101" s="152" t="s">
        <v>259</v>
      </c>
      <c r="C101" s="166" t="s">
        <v>260</v>
      </c>
      <c r="D101" s="152">
        <v>49231</v>
      </c>
      <c r="E101" s="153" t="s">
        <v>296</v>
      </c>
      <c r="F101" s="154" t="str">
        <f>"T_" &amp; D101 &amp; "_" &amp; COUNTIF($D$11:D101, D101)</f>
        <v>T_49231_15</v>
      </c>
      <c r="G101" s="181" t="s">
        <v>301</v>
      </c>
      <c r="H101" s="155" t="s">
        <v>268</v>
      </c>
      <c r="I101" s="156" t="s">
        <v>269</v>
      </c>
      <c r="J101" s="156" t="s">
        <v>270</v>
      </c>
      <c r="K101" s="156" t="s">
        <v>302</v>
      </c>
      <c r="L101" s="156" t="s">
        <v>286</v>
      </c>
      <c r="M101" s="111" t="s">
        <v>74</v>
      </c>
      <c r="N101" s="157"/>
      <c r="O101" s="171"/>
    </row>
    <row r="102" spans="1:15" ht="122.25" customHeight="1">
      <c r="A102" s="54">
        <v>92</v>
      </c>
      <c r="B102" s="14" t="s">
        <v>259</v>
      </c>
      <c r="C102" s="165" t="s">
        <v>260</v>
      </c>
      <c r="D102" s="14">
        <v>49231</v>
      </c>
      <c r="E102" s="148" t="s">
        <v>303</v>
      </c>
      <c r="F102" s="17" t="str">
        <f>"T_" &amp; D102 &amp; "_" &amp; COUNTIF($D$11:D102, D102)</f>
        <v>T_49231_16</v>
      </c>
      <c r="G102" s="38" t="s">
        <v>304</v>
      </c>
      <c r="H102" s="13" t="s">
        <v>263</v>
      </c>
      <c r="I102" s="13" t="s">
        <v>305</v>
      </c>
      <c r="J102" s="13" t="s">
        <v>265</v>
      </c>
      <c r="K102" s="13" t="s">
        <v>306</v>
      </c>
      <c r="L102" s="13" t="s">
        <v>307</v>
      </c>
      <c r="M102" s="111" t="s">
        <v>74</v>
      </c>
      <c r="N102" s="80"/>
      <c r="O102" s="170"/>
    </row>
    <row r="103" spans="1:15" ht="101.25" customHeight="1">
      <c r="A103" s="54">
        <v>93</v>
      </c>
      <c r="B103" s="14" t="s">
        <v>259</v>
      </c>
      <c r="C103" s="165" t="s">
        <v>260</v>
      </c>
      <c r="D103" s="14">
        <v>49231</v>
      </c>
      <c r="E103" s="150" t="s">
        <v>303</v>
      </c>
      <c r="F103" s="17" t="str">
        <f>"T_" &amp; D103 &amp; "_" &amp; COUNTIF($D$11:D103, D103)</f>
        <v>T_49231_17</v>
      </c>
      <c r="G103" s="38" t="s">
        <v>304</v>
      </c>
      <c r="H103" s="151" t="s">
        <v>268</v>
      </c>
      <c r="I103" s="13" t="s">
        <v>269</v>
      </c>
      <c r="J103" s="13" t="s">
        <v>270</v>
      </c>
      <c r="K103" s="13" t="s">
        <v>308</v>
      </c>
      <c r="L103" s="13" t="s">
        <v>307</v>
      </c>
      <c r="M103" s="111" t="s">
        <v>74</v>
      </c>
      <c r="N103" s="80"/>
      <c r="O103" s="170"/>
    </row>
    <row r="104" spans="1:15" s="158" customFormat="1" ht="188.25" customHeight="1">
      <c r="A104" s="54">
        <v>94</v>
      </c>
      <c r="B104" s="152" t="s">
        <v>259</v>
      </c>
      <c r="C104" s="166" t="s">
        <v>260</v>
      </c>
      <c r="D104" s="152">
        <v>49231</v>
      </c>
      <c r="E104" s="153" t="s">
        <v>303</v>
      </c>
      <c r="F104" s="154" t="str">
        <f>"T_" &amp; D104 &amp; "_" &amp; COUNTIF($D$11:D104, D104)</f>
        <v>T_49231_18</v>
      </c>
      <c r="G104" s="181" t="s">
        <v>309</v>
      </c>
      <c r="H104" s="155" t="s">
        <v>268</v>
      </c>
      <c r="I104" s="156" t="s">
        <v>269</v>
      </c>
      <c r="J104" s="156" t="s">
        <v>270</v>
      </c>
      <c r="K104" s="156" t="s">
        <v>310</v>
      </c>
      <c r="L104" s="156" t="s">
        <v>307</v>
      </c>
      <c r="M104" s="111" t="s">
        <v>74</v>
      </c>
      <c r="N104" s="157"/>
      <c r="O104" s="171"/>
    </row>
    <row r="105" spans="1:15" ht="146.25">
      <c r="A105" s="54">
        <v>95</v>
      </c>
      <c r="B105" s="14" t="s">
        <v>259</v>
      </c>
      <c r="C105" s="165" t="s">
        <v>260</v>
      </c>
      <c r="D105" s="14">
        <v>49231</v>
      </c>
      <c r="E105" s="148" t="s">
        <v>311</v>
      </c>
      <c r="F105" s="17" t="str">
        <f>"T_" &amp; D105 &amp; "_" &amp; COUNTIF($D$11:D105, D105)</f>
        <v>T_49231_19</v>
      </c>
      <c r="G105" s="38" t="s">
        <v>290</v>
      </c>
      <c r="H105" s="13" t="s">
        <v>263</v>
      </c>
      <c r="I105" s="13" t="s">
        <v>312</v>
      </c>
      <c r="J105" s="13" t="s">
        <v>265</v>
      </c>
      <c r="K105" s="13" t="s">
        <v>313</v>
      </c>
      <c r="L105" s="13" t="s">
        <v>307</v>
      </c>
      <c r="M105" s="111" t="s">
        <v>74</v>
      </c>
      <c r="N105" s="80"/>
      <c r="O105" s="170"/>
    </row>
    <row r="106" spans="1:15" ht="210.75">
      <c r="A106" s="54">
        <v>96</v>
      </c>
      <c r="B106" s="14" t="s">
        <v>259</v>
      </c>
      <c r="C106" s="165" t="s">
        <v>260</v>
      </c>
      <c r="D106" s="14">
        <v>49231</v>
      </c>
      <c r="E106" s="150" t="s">
        <v>311</v>
      </c>
      <c r="F106" s="17" t="str">
        <f>"T_" &amp; D106 &amp; "_" &amp; COUNTIF($D$11:D106, D106)</f>
        <v>T_49231_20</v>
      </c>
      <c r="G106" s="38" t="s">
        <v>290</v>
      </c>
      <c r="H106" s="151" t="s">
        <v>268</v>
      </c>
      <c r="I106" s="13" t="s">
        <v>269</v>
      </c>
      <c r="J106" s="13" t="s">
        <v>270</v>
      </c>
      <c r="K106" s="13" t="s">
        <v>314</v>
      </c>
      <c r="L106" s="13" t="s">
        <v>307</v>
      </c>
      <c r="M106" s="111" t="s">
        <v>74</v>
      </c>
      <c r="N106" s="80"/>
      <c r="O106" s="170"/>
    </row>
    <row r="107" spans="1:15" s="158" customFormat="1" ht="182.25" customHeight="1">
      <c r="A107" s="54">
        <v>97</v>
      </c>
      <c r="B107" s="152" t="s">
        <v>259</v>
      </c>
      <c r="C107" s="166" t="s">
        <v>260</v>
      </c>
      <c r="D107" s="152">
        <v>49231</v>
      </c>
      <c r="E107" s="153" t="s">
        <v>311</v>
      </c>
      <c r="F107" s="154" t="str">
        <f>"T_" &amp; D107 &amp; "_" &amp; COUNTIF($D$11:D107, D107)</f>
        <v>T_49231_21</v>
      </c>
      <c r="G107" s="181" t="s">
        <v>294</v>
      </c>
      <c r="H107" s="155" t="s">
        <v>268</v>
      </c>
      <c r="I107" s="156" t="s">
        <v>269</v>
      </c>
      <c r="J107" s="156" t="s">
        <v>270</v>
      </c>
      <c r="K107" s="156" t="s">
        <v>315</v>
      </c>
      <c r="L107" s="156" t="s">
        <v>307</v>
      </c>
      <c r="M107" s="111" t="s">
        <v>74</v>
      </c>
      <c r="N107" s="157"/>
      <c r="O107" s="171"/>
    </row>
    <row r="108" spans="1:15" ht="146.25">
      <c r="A108" s="54">
        <v>98</v>
      </c>
      <c r="B108" s="14" t="s">
        <v>259</v>
      </c>
      <c r="C108" s="165" t="s">
        <v>260</v>
      </c>
      <c r="D108" s="14">
        <v>49231</v>
      </c>
      <c r="E108" s="148" t="s">
        <v>316</v>
      </c>
      <c r="F108" s="17" t="str">
        <f>"T_" &amp; D108 &amp; "_" &amp; COUNTIF($D$11:D108, D108)</f>
        <v>T_49231_22</v>
      </c>
      <c r="G108" s="38" t="s">
        <v>317</v>
      </c>
      <c r="H108" s="13" t="s">
        <v>263</v>
      </c>
      <c r="I108" s="13" t="s">
        <v>318</v>
      </c>
      <c r="J108" s="13" t="s">
        <v>265</v>
      </c>
      <c r="K108" s="13" t="s">
        <v>319</v>
      </c>
      <c r="L108" s="13" t="s">
        <v>307</v>
      </c>
      <c r="M108" s="111" t="s">
        <v>74</v>
      </c>
      <c r="N108" s="80"/>
      <c r="O108" s="170"/>
    </row>
    <row r="109" spans="1:15" ht="210.75">
      <c r="A109" s="54">
        <v>99</v>
      </c>
      <c r="B109" s="14" t="s">
        <v>259</v>
      </c>
      <c r="C109" s="165" t="s">
        <v>260</v>
      </c>
      <c r="D109" s="14">
        <v>49231</v>
      </c>
      <c r="E109" s="150" t="s">
        <v>316</v>
      </c>
      <c r="F109" s="17" t="str">
        <f>"T_" &amp; D109 &amp; "_" &amp; COUNTIF($D$11:D109, D109)</f>
        <v>T_49231_23</v>
      </c>
      <c r="G109" s="38" t="s">
        <v>317</v>
      </c>
      <c r="H109" s="151" t="s">
        <v>268</v>
      </c>
      <c r="I109" s="13" t="s">
        <v>269</v>
      </c>
      <c r="J109" s="13" t="s">
        <v>270</v>
      </c>
      <c r="K109" s="13" t="s">
        <v>320</v>
      </c>
      <c r="L109" s="13" t="s">
        <v>307</v>
      </c>
      <c r="M109" s="111" t="s">
        <v>74</v>
      </c>
      <c r="N109" s="80"/>
      <c r="O109" s="170"/>
    </row>
    <row r="110" spans="1:15" s="158" customFormat="1" ht="137.25" customHeight="1">
      <c r="A110" s="54">
        <v>100</v>
      </c>
      <c r="B110" s="152" t="s">
        <v>259</v>
      </c>
      <c r="C110" s="166" t="s">
        <v>260</v>
      </c>
      <c r="D110" s="152">
        <v>49231</v>
      </c>
      <c r="E110" s="153" t="s">
        <v>316</v>
      </c>
      <c r="F110" s="154" t="str">
        <f>"T_" &amp; D110 &amp; "_" &amp; COUNTIF($D$11:D110, D110)</f>
        <v>T_49231_24</v>
      </c>
      <c r="G110" s="181" t="s">
        <v>321</v>
      </c>
      <c r="H110" s="155" t="s">
        <v>268</v>
      </c>
      <c r="I110" s="156" t="s">
        <v>269</v>
      </c>
      <c r="J110" s="156" t="s">
        <v>270</v>
      </c>
      <c r="K110" s="156" t="s">
        <v>322</v>
      </c>
      <c r="L110" s="156" t="s">
        <v>307</v>
      </c>
      <c r="M110" s="111" t="s">
        <v>74</v>
      </c>
      <c r="N110" s="157"/>
      <c r="O110" s="171"/>
    </row>
    <row r="111" spans="1:15" ht="146.25">
      <c r="A111" s="54">
        <v>101</v>
      </c>
      <c r="B111" s="14" t="s">
        <v>259</v>
      </c>
      <c r="C111" s="165" t="s">
        <v>260</v>
      </c>
      <c r="D111" s="14">
        <v>49231</v>
      </c>
      <c r="E111" s="148" t="s">
        <v>323</v>
      </c>
      <c r="F111" s="17" t="str">
        <f>"T_" &amp; D111 &amp; "_" &amp; COUNTIF($D$11:D111, D111)</f>
        <v>T_49231_25</v>
      </c>
      <c r="G111" s="38" t="s">
        <v>324</v>
      </c>
      <c r="H111" s="13" t="s">
        <v>263</v>
      </c>
      <c r="I111" s="13" t="s">
        <v>325</v>
      </c>
      <c r="J111" s="13" t="s">
        <v>265</v>
      </c>
      <c r="K111" s="13" t="s">
        <v>326</v>
      </c>
      <c r="L111" s="13" t="s">
        <v>307</v>
      </c>
      <c r="M111" s="111" t="s">
        <v>74</v>
      </c>
      <c r="N111" s="80"/>
      <c r="O111" s="170"/>
    </row>
    <row r="112" spans="1:15" ht="210.75">
      <c r="A112" s="54">
        <v>102</v>
      </c>
      <c r="B112" s="14" t="s">
        <v>259</v>
      </c>
      <c r="C112" s="165" t="s">
        <v>260</v>
      </c>
      <c r="D112" s="14">
        <v>49231</v>
      </c>
      <c r="E112" s="150" t="s">
        <v>323</v>
      </c>
      <c r="F112" s="17" t="str">
        <f>"T_" &amp; D112 &amp; "_" &amp; COUNTIF($D$11:D112, D112)</f>
        <v>T_49231_26</v>
      </c>
      <c r="G112" s="38" t="s">
        <v>324</v>
      </c>
      <c r="H112" s="151" t="s">
        <v>268</v>
      </c>
      <c r="I112" s="13" t="s">
        <v>269</v>
      </c>
      <c r="J112" s="13" t="s">
        <v>270</v>
      </c>
      <c r="K112" s="13" t="s">
        <v>327</v>
      </c>
      <c r="L112" s="13" t="s">
        <v>307</v>
      </c>
      <c r="M112" s="111" t="s">
        <v>74</v>
      </c>
      <c r="N112" s="80"/>
      <c r="O112" s="170"/>
    </row>
    <row r="113" spans="1:15" s="158" customFormat="1" ht="183.75" customHeight="1">
      <c r="A113" s="54">
        <v>103</v>
      </c>
      <c r="B113" s="152" t="s">
        <v>259</v>
      </c>
      <c r="C113" s="166" t="s">
        <v>260</v>
      </c>
      <c r="D113" s="152">
        <v>49231</v>
      </c>
      <c r="E113" s="153" t="s">
        <v>323</v>
      </c>
      <c r="F113" s="154" t="str">
        <f>"T_" &amp; D113 &amp; "_" &amp; COUNTIF($D$11:D113, D113)</f>
        <v>T_49231_27</v>
      </c>
      <c r="G113" s="181" t="s">
        <v>328</v>
      </c>
      <c r="H113" s="155" t="s">
        <v>268</v>
      </c>
      <c r="I113" s="156" t="s">
        <v>269</v>
      </c>
      <c r="J113" s="156" t="s">
        <v>270</v>
      </c>
      <c r="K113" s="156" t="s">
        <v>329</v>
      </c>
      <c r="L113" s="156" t="s">
        <v>307</v>
      </c>
      <c r="M113" s="111" t="s">
        <v>74</v>
      </c>
      <c r="N113" s="157"/>
      <c r="O113" s="171"/>
    </row>
    <row r="114" spans="1:15" ht="146.25">
      <c r="A114" s="54">
        <v>104</v>
      </c>
      <c r="B114" s="14" t="s">
        <v>259</v>
      </c>
      <c r="C114" s="165" t="s">
        <v>260</v>
      </c>
      <c r="D114" s="14">
        <v>49231</v>
      </c>
      <c r="E114" s="148" t="s">
        <v>330</v>
      </c>
      <c r="F114" s="17" t="str">
        <f>"T_" &amp; D114 &amp; "_" &amp; COUNTIF($D$11:D114, D114)</f>
        <v>T_49231_28</v>
      </c>
      <c r="G114" s="38" t="s">
        <v>331</v>
      </c>
      <c r="H114" s="13" t="s">
        <v>263</v>
      </c>
      <c r="I114" s="13" t="s">
        <v>332</v>
      </c>
      <c r="J114" s="13" t="s">
        <v>265</v>
      </c>
      <c r="K114" s="13" t="s">
        <v>333</v>
      </c>
      <c r="L114" s="13" t="s">
        <v>307</v>
      </c>
      <c r="M114" s="111" t="s">
        <v>74</v>
      </c>
      <c r="N114" s="80"/>
      <c r="O114" s="170"/>
    </row>
    <row r="115" spans="1:15" ht="210.75">
      <c r="A115" s="54">
        <v>105</v>
      </c>
      <c r="B115" s="14" t="s">
        <v>259</v>
      </c>
      <c r="C115" s="165" t="s">
        <v>260</v>
      </c>
      <c r="D115" s="14">
        <v>49231</v>
      </c>
      <c r="E115" s="150" t="s">
        <v>330</v>
      </c>
      <c r="F115" s="17" t="str">
        <f>"T_" &amp; D115 &amp; "_" &amp; COUNTIF($D$11:D115, D115)</f>
        <v>T_49231_29</v>
      </c>
      <c r="G115" s="38" t="s">
        <v>331</v>
      </c>
      <c r="H115" s="151" t="s">
        <v>268</v>
      </c>
      <c r="I115" s="13" t="s">
        <v>269</v>
      </c>
      <c r="J115" s="13" t="s">
        <v>270</v>
      </c>
      <c r="K115" s="13" t="s">
        <v>334</v>
      </c>
      <c r="L115" s="13" t="s">
        <v>307</v>
      </c>
      <c r="M115" s="111" t="s">
        <v>74</v>
      </c>
      <c r="N115" s="80"/>
      <c r="O115" s="170"/>
    </row>
    <row r="116" spans="1:15" s="158" customFormat="1" ht="210.75">
      <c r="A116" s="54">
        <v>106</v>
      </c>
      <c r="B116" s="152" t="s">
        <v>259</v>
      </c>
      <c r="C116" s="166" t="s">
        <v>260</v>
      </c>
      <c r="D116" s="152">
        <v>49231</v>
      </c>
      <c r="E116" s="153" t="s">
        <v>330</v>
      </c>
      <c r="F116" s="154" t="str">
        <f>"T_" &amp; D116 &amp; "_" &amp; COUNTIF($D$11:D116, D116)</f>
        <v>T_49231_30</v>
      </c>
      <c r="G116" s="181" t="s">
        <v>335</v>
      </c>
      <c r="H116" s="155" t="s">
        <v>268</v>
      </c>
      <c r="I116" s="156" t="s">
        <v>269</v>
      </c>
      <c r="J116" s="156" t="s">
        <v>270</v>
      </c>
      <c r="K116" s="156" t="s">
        <v>336</v>
      </c>
      <c r="L116" s="156" t="s">
        <v>307</v>
      </c>
      <c r="M116" s="111" t="s">
        <v>74</v>
      </c>
      <c r="N116" s="157"/>
      <c r="O116" s="171"/>
    </row>
    <row r="117" spans="1:15" ht="146.25">
      <c r="A117" s="54">
        <v>107</v>
      </c>
      <c r="B117" s="14" t="s">
        <v>259</v>
      </c>
      <c r="C117" s="165" t="s">
        <v>260</v>
      </c>
      <c r="D117" s="14">
        <v>49231</v>
      </c>
      <c r="E117" s="148" t="s">
        <v>337</v>
      </c>
      <c r="F117" s="17" t="str">
        <f>"T_" &amp; D117 &amp; "_" &amp; COUNTIF($D$11:D117, D117)</f>
        <v>T_49231_31</v>
      </c>
      <c r="G117" s="38" t="s">
        <v>338</v>
      </c>
      <c r="H117" s="13" t="s">
        <v>263</v>
      </c>
      <c r="I117" s="13" t="s">
        <v>339</v>
      </c>
      <c r="J117" s="13" t="s">
        <v>265</v>
      </c>
      <c r="K117" s="13" t="s">
        <v>340</v>
      </c>
      <c r="L117" s="13" t="s">
        <v>307</v>
      </c>
      <c r="M117" s="111" t="s">
        <v>74</v>
      </c>
      <c r="N117" s="80"/>
      <c r="O117" s="170"/>
    </row>
    <row r="118" spans="1:15" ht="210.75">
      <c r="A118" s="54">
        <v>108</v>
      </c>
      <c r="B118" s="14" t="s">
        <v>259</v>
      </c>
      <c r="C118" s="165" t="s">
        <v>260</v>
      </c>
      <c r="D118" s="14">
        <v>49231</v>
      </c>
      <c r="E118" s="150" t="s">
        <v>337</v>
      </c>
      <c r="F118" s="17" t="str">
        <f>"T_" &amp; D118 &amp; "_" &amp; COUNTIF($D$11:D118, D118)</f>
        <v>T_49231_32</v>
      </c>
      <c r="G118" s="38" t="s">
        <v>338</v>
      </c>
      <c r="H118" s="151" t="s">
        <v>268</v>
      </c>
      <c r="I118" s="13" t="s">
        <v>269</v>
      </c>
      <c r="J118" s="13" t="s">
        <v>270</v>
      </c>
      <c r="K118" s="13" t="s">
        <v>341</v>
      </c>
      <c r="L118" s="13" t="s">
        <v>307</v>
      </c>
      <c r="M118" s="111" t="s">
        <v>74</v>
      </c>
      <c r="N118" s="80"/>
      <c r="O118" s="170"/>
    </row>
    <row r="119" spans="1:15" s="158" customFormat="1" ht="210.75">
      <c r="A119" s="54">
        <v>109</v>
      </c>
      <c r="B119" s="152" t="s">
        <v>259</v>
      </c>
      <c r="C119" s="166" t="s">
        <v>260</v>
      </c>
      <c r="D119" s="152">
        <v>49231</v>
      </c>
      <c r="E119" s="153" t="s">
        <v>337</v>
      </c>
      <c r="F119" s="154" t="str">
        <f>"T_" &amp; D119 &amp; "_" &amp; COUNTIF($D$11:D119, D119)</f>
        <v>T_49231_33</v>
      </c>
      <c r="G119" s="181" t="s">
        <v>342</v>
      </c>
      <c r="H119" s="155" t="s">
        <v>268</v>
      </c>
      <c r="I119" s="156" t="s">
        <v>269</v>
      </c>
      <c r="J119" s="156" t="s">
        <v>270</v>
      </c>
      <c r="K119" s="156" t="s">
        <v>343</v>
      </c>
      <c r="L119" s="156" t="s">
        <v>307</v>
      </c>
      <c r="M119" s="111" t="s">
        <v>74</v>
      </c>
      <c r="N119" s="157"/>
      <c r="O119" s="171"/>
    </row>
    <row r="120" spans="1:15" ht="146.25">
      <c r="A120" s="54">
        <v>110</v>
      </c>
      <c r="B120" s="14" t="s">
        <v>259</v>
      </c>
      <c r="C120" s="165" t="s">
        <v>260</v>
      </c>
      <c r="D120" s="14">
        <v>49231</v>
      </c>
      <c r="E120" s="148" t="s">
        <v>344</v>
      </c>
      <c r="F120" s="17" t="str">
        <f>"T_" &amp; D120 &amp; "_" &amp; COUNTIF($D$11:D120, D120)</f>
        <v>T_49231_34</v>
      </c>
      <c r="G120" s="38" t="s">
        <v>345</v>
      </c>
      <c r="H120" s="13" t="s">
        <v>263</v>
      </c>
      <c r="I120" s="13" t="s">
        <v>346</v>
      </c>
      <c r="J120" s="13" t="s">
        <v>265</v>
      </c>
      <c r="K120" s="13" t="s">
        <v>347</v>
      </c>
      <c r="L120" s="13" t="s">
        <v>307</v>
      </c>
      <c r="M120" s="111" t="s">
        <v>74</v>
      </c>
      <c r="N120" s="80"/>
      <c r="O120" s="170"/>
    </row>
    <row r="121" spans="1:15" ht="210.75">
      <c r="A121" s="54">
        <v>111</v>
      </c>
      <c r="B121" s="14" t="s">
        <v>259</v>
      </c>
      <c r="C121" s="165" t="s">
        <v>260</v>
      </c>
      <c r="D121" s="14">
        <v>49231</v>
      </c>
      <c r="E121" s="150" t="s">
        <v>344</v>
      </c>
      <c r="F121" s="17" t="str">
        <f>"T_" &amp; D121 &amp; "_" &amp; COUNTIF($D$11:D121, D121)</f>
        <v>T_49231_35</v>
      </c>
      <c r="G121" s="38" t="s">
        <v>345</v>
      </c>
      <c r="H121" s="151" t="s">
        <v>268</v>
      </c>
      <c r="I121" s="13" t="s">
        <v>269</v>
      </c>
      <c r="J121" s="13" t="s">
        <v>270</v>
      </c>
      <c r="K121" s="13" t="s">
        <v>348</v>
      </c>
      <c r="L121" s="13" t="s">
        <v>307</v>
      </c>
      <c r="M121" s="111" t="s">
        <v>74</v>
      </c>
      <c r="N121" s="80"/>
      <c r="O121" s="170"/>
    </row>
    <row r="122" spans="1:15" s="158" customFormat="1" ht="210.75">
      <c r="A122" s="54">
        <v>112</v>
      </c>
      <c r="B122" s="152" t="s">
        <v>259</v>
      </c>
      <c r="C122" s="166" t="s">
        <v>260</v>
      </c>
      <c r="D122" s="152">
        <v>49231</v>
      </c>
      <c r="E122" s="153" t="s">
        <v>344</v>
      </c>
      <c r="F122" s="154" t="str">
        <f>"T_" &amp; D122 &amp; "_" &amp; COUNTIF($D$11:D122, D122)</f>
        <v>T_49231_36</v>
      </c>
      <c r="G122" s="181" t="s">
        <v>349</v>
      </c>
      <c r="H122" s="155" t="s">
        <v>268</v>
      </c>
      <c r="I122" s="156" t="s">
        <v>269</v>
      </c>
      <c r="J122" s="156" t="s">
        <v>270</v>
      </c>
      <c r="K122" s="156" t="s">
        <v>350</v>
      </c>
      <c r="L122" s="156" t="s">
        <v>307</v>
      </c>
      <c r="M122" s="111" t="s">
        <v>74</v>
      </c>
      <c r="N122" s="157"/>
      <c r="O122" s="171"/>
    </row>
    <row r="123" spans="1:15" ht="146.25">
      <c r="A123" s="54">
        <v>113</v>
      </c>
      <c r="B123" s="14" t="s">
        <v>259</v>
      </c>
      <c r="C123" s="165" t="s">
        <v>260</v>
      </c>
      <c r="D123" s="14">
        <v>49231</v>
      </c>
      <c r="E123" s="148" t="s">
        <v>351</v>
      </c>
      <c r="F123" s="17" t="str">
        <f>"T_" &amp; D123 &amp; "_" &amp; COUNTIF($D$11:D123, D123)</f>
        <v>T_49231_37</v>
      </c>
      <c r="G123" s="38" t="s">
        <v>352</v>
      </c>
      <c r="H123" s="13" t="s">
        <v>263</v>
      </c>
      <c r="I123" s="13" t="s">
        <v>353</v>
      </c>
      <c r="J123" s="13" t="s">
        <v>265</v>
      </c>
      <c r="K123" s="13" t="s">
        <v>354</v>
      </c>
      <c r="L123" s="13" t="s">
        <v>307</v>
      </c>
      <c r="M123" s="111" t="s">
        <v>74</v>
      </c>
      <c r="N123" s="80"/>
      <c r="O123" s="170"/>
    </row>
    <row r="124" spans="1:15" ht="210.75">
      <c r="A124" s="54">
        <v>114</v>
      </c>
      <c r="B124" s="14" t="s">
        <v>259</v>
      </c>
      <c r="C124" s="165" t="s">
        <v>260</v>
      </c>
      <c r="D124" s="14">
        <v>49231</v>
      </c>
      <c r="E124" s="150" t="s">
        <v>351</v>
      </c>
      <c r="F124" s="17" t="str">
        <f>"T_" &amp; D124 &amp; "_" &amp; COUNTIF($D$11:D124, D124)</f>
        <v>T_49231_38</v>
      </c>
      <c r="G124" s="38" t="s">
        <v>352</v>
      </c>
      <c r="H124" s="151" t="s">
        <v>268</v>
      </c>
      <c r="I124" s="13" t="s">
        <v>269</v>
      </c>
      <c r="J124" s="13" t="s">
        <v>270</v>
      </c>
      <c r="K124" s="13" t="s">
        <v>355</v>
      </c>
      <c r="L124" s="13" t="s">
        <v>307</v>
      </c>
      <c r="M124" s="111" t="s">
        <v>74</v>
      </c>
      <c r="N124" s="80"/>
      <c r="O124" s="170"/>
    </row>
    <row r="125" spans="1:15" s="158" customFormat="1" ht="210.75">
      <c r="A125" s="54">
        <v>115</v>
      </c>
      <c r="B125" s="152" t="s">
        <v>259</v>
      </c>
      <c r="C125" s="166" t="s">
        <v>260</v>
      </c>
      <c r="D125" s="152">
        <v>49231</v>
      </c>
      <c r="E125" s="153" t="s">
        <v>351</v>
      </c>
      <c r="F125" s="154" t="str">
        <f>"T_" &amp; D125 &amp; "_" &amp; COUNTIF($D$11:D125, D125)</f>
        <v>T_49231_39</v>
      </c>
      <c r="G125" s="181" t="s">
        <v>356</v>
      </c>
      <c r="H125" s="155" t="s">
        <v>268</v>
      </c>
      <c r="I125" s="156" t="s">
        <v>269</v>
      </c>
      <c r="J125" s="156" t="s">
        <v>270</v>
      </c>
      <c r="K125" s="156" t="s">
        <v>357</v>
      </c>
      <c r="L125" s="156" t="s">
        <v>307</v>
      </c>
      <c r="M125" s="111" t="s">
        <v>74</v>
      </c>
      <c r="N125" s="157"/>
      <c r="O125" s="171"/>
    </row>
    <row r="126" spans="1:15" ht="146.25">
      <c r="A126" s="54">
        <v>116</v>
      </c>
      <c r="B126" s="14" t="s">
        <v>259</v>
      </c>
      <c r="C126" s="165" t="s">
        <v>260</v>
      </c>
      <c r="D126" s="14">
        <v>49231</v>
      </c>
      <c r="E126" s="148" t="s">
        <v>358</v>
      </c>
      <c r="F126" s="17" t="str">
        <f>"T_" &amp; D126 &amp; "_" &amp; COUNTIF($D$11:D126, D126)</f>
        <v>T_49231_40</v>
      </c>
      <c r="G126" s="38" t="s">
        <v>359</v>
      </c>
      <c r="H126" s="13" t="s">
        <v>263</v>
      </c>
      <c r="I126" s="13" t="s">
        <v>360</v>
      </c>
      <c r="J126" s="13" t="s">
        <v>265</v>
      </c>
      <c r="K126" s="13" t="s">
        <v>361</v>
      </c>
      <c r="L126" s="13" t="s">
        <v>307</v>
      </c>
      <c r="M126" s="111" t="s">
        <v>74</v>
      </c>
      <c r="N126" s="80"/>
      <c r="O126" s="170"/>
    </row>
    <row r="127" spans="1:15" ht="210.75">
      <c r="A127" s="54">
        <v>117</v>
      </c>
      <c r="B127" s="14" t="s">
        <v>259</v>
      </c>
      <c r="C127" s="165" t="s">
        <v>260</v>
      </c>
      <c r="D127" s="14">
        <v>49231</v>
      </c>
      <c r="E127" s="150" t="s">
        <v>358</v>
      </c>
      <c r="F127" s="17" t="str">
        <f>"T_" &amp; D127 &amp; "_" &amp; COUNTIF($D$11:D127, D127)</f>
        <v>T_49231_41</v>
      </c>
      <c r="G127" s="38" t="s">
        <v>359</v>
      </c>
      <c r="H127" s="151" t="s">
        <v>268</v>
      </c>
      <c r="I127" s="13" t="s">
        <v>269</v>
      </c>
      <c r="J127" s="13" t="s">
        <v>270</v>
      </c>
      <c r="K127" s="13" t="s">
        <v>362</v>
      </c>
      <c r="L127" s="13" t="s">
        <v>307</v>
      </c>
      <c r="M127" s="111" t="s">
        <v>74</v>
      </c>
      <c r="N127" s="80"/>
      <c r="O127" s="170"/>
    </row>
    <row r="128" spans="1:15" s="158" customFormat="1" ht="210.75">
      <c r="A128" s="54">
        <v>118</v>
      </c>
      <c r="B128" s="152" t="s">
        <v>259</v>
      </c>
      <c r="C128" s="166" t="s">
        <v>260</v>
      </c>
      <c r="D128" s="152">
        <v>49231</v>
      </c>
      <c r="E128" s="153" t="s">
        <v>358</v>
      </c>
      <c r="F128" s="154" t="str">
        <f>"T_" &amp; D128 &amp; "_" &amp; COUNTIF($D$11:D128, D128)</f>
        <v>T_49231_42</v>
      </c>
      <c r="G128" s="181" t="s">
        <v>363</v>
      </c>
      <c r="H128" s="155" t="s">
        <v>268</v>
      </c>
      <c r="I128" s="156" t="s">
        <v>269</v>
      </c>
      <c r="J128" s="156" t="s">
        <v>270</v>
      </c>
      <c r="K128" s="156" t="s">
        <v>364</v>
      </c>
      <c r="L128" s="156" t="s">
        <v>307</v>
      </c>
      <c r="M128" s="111" t="s">
        <v>74</v>
      </c>
      <c r="N128" s="157"/>
      <c r="O128" s="171"/>
    </row>
    <row r="129" spans="1:15" ht="146.25">
      <c r="A129" s="54">
        <v>119</v>
      </c>
      <c r="B129" s="14" t="s">
        <v>259</v>
      </c>
      <c r="C129" s="165" t="s">
        <v>260</v>
      </c>
      <c r="D129" s="14">
        <v>49231</v>
      </c>
      <c r="E129" s="148" t="s">
        <v>365</v>
      </c>
      <c r="F129" s="17" t="str">
        <f>"T_" &amp; D129 &amp; "_" &amp; COUNTIF($D$11:D129, D129)</f>
        <v>T_49231_43</v>
      </c>
      <c r="G129" s="38" t="s">
        <v>366</v>
      </c>
      <c r="H129" s="13" t="s">
        <v>263</v>
      </c>
      <c r="I129" s="13" t="s">
        <v>367</v>
      </c>
      <c r="J129" s="13" t="s">
        <v>265</v>
      </c>
      <c r="K129" s="13" t="s">
        <v>368</v>
      </c>
      <c r="L129" s="13" t="s">
        <v>307</v>
      </c>
      <c r="M129" s="111" t="s">
        <v>74</v>
      </c>
      <c r="N129" s="80"/>
      <c r="O129" s="170"/>
    </row>
    <row r="130" spans="1:15" ht="210.75">
      <c r="A130" s="54">
        <v>120</v>
      </c>
      <c r="B130" s="14" t="s">
        <v>259</v>
      </c>
      <c r="C130" s="165" t="s">
        <v>260</v>
      </c>
      <c r="D130" s="14">
        <v>49231</v>
      </c>
      <c r="E130" s="150" t="s">
        <v>365</v>
      </c>
      <c r="F130" s="17" t="str">
        <f>"T_" &amp; D130 &amp; "_" &amp; COUNTIF($D$11:D130, D130)</f>
        <v>T_49231_44</v>
      </c>
      <c r="G130" s="38" t="s">
        <v>366</v>
      </c>
      <c r="H130" s="151" t="s">
        <v>268</v>
      </c>
      <c r="I130" s="13" t="s">
        <v>269</v>
      </c>
      <c r="J130" s="13" t="s">
        <v>270</v>
      </c>
      <c r="K130" s="13" t="s">
        <v>369</v>
      </c>
      <c r="L130" s="13" t="s">
        <v>307</v>
      </c>
      <c r="M130" s="111" t="s">
        <v>74</v>
      </c>
      <c r="N130" s="80"/>
      <c r="O130" s="170"/>
    </row>
    <row r="131" spans="1:15" s="158" customFormat="1" ht="210.75">
      <c r="A131" s="54">
        <v>121</v>
      </c>
      <c r="B131" s="152" t="s">
        <v>259</v>
      </c>
      <c r="C131" s="166" t="s">
        <v>260</v>
      </c>
      <c r="D131" s="152">
        <v>49231</v>
      </c>
      <c r="E131" s="153" t="s">
        <v>365</v>
      </c>
      <c r="F131" s="154" t="str">
        <f>"T_" &amp; D131 &amp; "_" &amp; COUNTIF($D$11:D131, D131)</f>
        <v>T_49231_45</v>
      </c>
      <c r="G131" s="181" t="s">
        <v>370</v>
      </c>
      <c r="H131" s="155" t="s">
        <v>268</v>
      </c>
      <c r="I131" s="156" t="s">
        <v>269</v>
      </c>
      <c r="J131" s="156" t="s">
        <v>270</v>
      </c>
      <c r="K131" s="156" t="s">
        <v>371</v>
      </c>
      <c r="L131" s="156" t="s">
        <v>307</v>
      </c>
      <c r="M131" s="111" t="s">
        <v>74</v>
      </c>
      <c r="N131" s="157"/>
      <c r="O131" s="171"/>
    </row>
    <row r="132" spans="1:15" ht="122.25" customHeight="1">
      <c r="A132" s="54">
        <v>122</v>
      </c>
      <c r="B132" s="14" t="s">
        <v>259</v>
      </c>
      <c r="C132" s="165" t="s">
        <v>260</v>
      </c>
      <c r="D132" s="14">
        <v>49231</v>
      </c>
      <c r="E132" s="148" t="s">
        <v>372</v>
      </c>
      <c r="F132" s="17" t="str">
        <f>"T_" &amp; D132 &amp; "_" &amp; COUNTIF($D$11:D132, D132)</f>
        <v>T_49231_46</v>
      </c>
      <c r="G132" s="38" t="s">
        <v>373</v>
      </c>
      <c r="H132" s="13" t="s">
        <v>263</v>
      </c>
      <c r="I132" s="13" t="s">
        <v>374</v>
      </c>
      <c r="J132" s="13" t="s">
        <v>265</v>
      </c>
      <c r="K132" s="13" t="s">
        <v>375</v>
      </c>
      <c r="L132" s="13" t="s">
        <v>307</v>
      </c>
      <c r="M132" s="111" t="s">
        <v>74</v>
      </c>
      <c r="N132" s="80"/>
      <c r="O132" s="170"/>
    </row>
    <row r="133" spans="1:15" ht="176.25" customHeight="1">
      <c r="A133" s="54">
        <v>123</v>
      </c>
      <c r="B133" s="14" t="s">
        <v>259</v>
      </c>
      <c r="C133" s="165" t="s">
        <v>260</v>
      </c>
      <c r="D133" s="14">
        <v>49231</v>
      </c>
      <c r="E133" s="150" t="s">
        <v>372</v>
      </c>
      <c r="F133" s="17" t="str">
        <f>"T_" &amp; D133 &amp; "_" &amp; COUNTIF($D$11:D133, D133)</f>
        <v>T_49231_47</v>
      </c>
      <c r="G133" s="38" t="s">
        <v>373</v>
      </c>
      <c r="H133" s="151" t="s">
        <v>268</v>
      </c>
      <c r="I133" s="13" t="s">
        <v>269</v>
      </c>
      <c r="J133" s="13" t="s">
        <v>270</v>
      </c>
      <c r="K133" s="13" t="s">
        <v>376</v>
      </c>
      <c r="L133" s="13" t="s">
        <v>307</v>
      </c>
      <c r="M133" s="111" t="s">
        <v>74</v>
      </c>
      <c r="N133" s="80"/>
      <c r="O133" s="170"/>
    </row>
    <row r="134" spans="1:15" s="158" customFormat="1" ht="210.75">
      <c r="A134" s="54">
        <v>124</v>
      </c>
      <c r="B134" s="152" t="s">
        <v>259</v>
      </c>
      <c r="C134" s="166" t="s">
        <v>260</v>
      </c>
      <c r="D134" s="152">
        <v>49231</v>
      </c>
      <c r="E134" s="153" t="s">
        <v>372</v>
      </c>
      <c r="F134" s="154" t="str">
        <f>"T_" &amp; D134 &amp; "_" &amp; COUNTIF($D$11:D134, D134)</f>
        <v>T_49231_48</v>
      </c>
      <c r="G134" s="181" t="s">
        <v>377</v>
      </c>
      <c r="H134" s="155" t="s">
        <v>268</v>
      </c>
      <c r="I134" s="156" t="s">
        <v>269</v>
      </c>
      <c r="J134" s="156" t="s">
        <v>270</v>
      </c>
      <c r="K134" s="156" t="s">
        <v>378</v>
      </c>
      <c r="L134" s="156" t="s">
        <v>307</v>
      </c>
      <c r="M134" s="111" t="s">
        <v>74</v>
      </c>
      <c r="N134" s="157"/>
      <c r="O134" s="171"/>
    </row>
    <row r="135" spans="1:15" ht="146.25">
      <c r="A135" s="54">
        <v>125</v>
      </c>
      <c r="B135" s="14" t="s">
        <v>259</v>
      </c>
      <c r="C135" s="165" t="s">
        <v>260</v>
      </c>
      <c r="D135" s="14">
        <v>49231</v>
      </c>
      <c r="E135" s="148" t="s">
        <v>379</v>
      </c>
      <c r="F135" s="17" t="str">
        <f>"T_" &amp; D135 &amp; "_" &amp; COUNTIF($D$11:D135, D135)</f>
        <v>T_49231_49</v>
      </c>
      <c r="G135" s="38" t="s">
        <v>380</v>
      </c>
      <c r="H135" s="13" t="s">
        <v>263</v>
      </c>
      <c r="I135" s="13" t="s">
        <v>381</v>
      </c>
      <c r="J135" s="13" t="s">
        <v>265</v>
      </c>
      <c r="K135" s="13" t="s">
        <v>382</v>
      </c>
      <c r="L135" s="13" t="s">
        <v>307</v>
      </c>
      <c r="M135" s="111" t="s">
        <v>74</v>
      </c>
      <c r="N135" s="80"/>
      <c r="O135" s="170"/>
    </row>
    <row r="136" spans="1:15" ht="210.75">
      <c r="A136" s="54">
        <v>126</v>
      </c>
      <c r="B136" s="14" t="s">
        <v>259</v>
      </c>
      <c r="C136" s="165" t="s">
        <v>260</v>
      </c>
      <c r="D136" s="14">
        <v>49231</v>
      </c>
      <c r="E136" s="150" t="s">
        <v>379</v>
      </c>
      <c r="F136" s="17" t="str">
        <f>"T_" &amp; D136 &amp; "_" &amp; COUNTIF($D$11:D136, D136)</f>
        <v>T_49231_50</v>
      </c>
      <c r="G136" s="38" t="s">
        <v>380</v>
      </c>
      <c r="H136" s="151" t="s">
        <v>268</v>
      </c>
      <c r="I136" s="13" t="s">
        <v>269</v>
      </c>
      <c r="J136" s="13" t="s">
        <v>270</v>
      </c>
      <c r="K136" s="13" t="s">
        <v>383</v>
      </c>
      <c r="L136" s="13" t="s">
        <v>307</v>
      </c>
      <c r="M136" s="111" t="s">
        <v>74</v>
      </c>
      <c r="N136" s="80"/>
      <c r="O136" s="170"/>
    </row>
    <row r="137" spans="1:15" s="158" customFormat="1" ht="210.75">
      <c r="A137" s="54">
        <v>127</v>
      </c>
      <c r="B137" s="152" t="s">
        <v>259</v>
      </c>
      <c r="C137" s="166" t="s">
        <v>260</v>
      </c>
      <c r="D137" s="152">
        <v>49231</v>
      </c>
      <c r="E137" s="153" t="s">
        <v>379</v>
      </c>
      <c r="F137" s="154" t="str">
        <f>"T_" &amp; D137 &amp; "_" &amp; COUNTIF($D$11:D137, D137)</f>
        <v>T_49231_51</v>
      </c>
      <c r="G137" s="181" t="s">
        <v>384</v>
      </c>
      <c r="H137" s="155" t="s">
        <v>268</v>
      </c>
      <c r="I137" s="156" t="s">
        <v>269</v>
      </c>
      <c r="J137" s="156" t="s">
        <v>270</v>
      </c>
      <c r="K137" s="156" t="s">
        <v>385</v>
      </c>
      <c r="L137" s="156" t="s">
        <v>307</v>
      </c>
      <c r="M137" s="111" t="s">
        <v>74</v>
      </c>
      <c r="N137" s="157"/>
      <c r="O137" s="171"/>
    </row>
    <row r="138" spans="1:15" ht="146.25">
      <c r="A138" s="54">
        <v>128</v>
      </c>
      <c r="B138" s="14" t="s">
        <v>259</v>
      </c>
      <c r="C138" s="165" t="s">
        <v>260</v>
      </c>
      <c r="D138" s="14">
        <v>49231</v>
      </c>
      <c r="E138" s="148" t="s">
        <v>386</v>
      </c>
      <c r="F138" s="17" t="str">
        <f>"T_" &amp; D138 &amp; "_" &amp; COUNTIF($D$11:D138, D138)</f>
        <v>T_49231_52</v>
      </c>
      <c r="G138" s="38" t="s">
        <v>387</v>
      </c>
      <c r="H138" s="13" t="s">
        <v>263</v>
      </c>
      <c r="I138" s="13" t="s">
        <v>388</v>
      </c>
      <c r="J138" s="13" t="s">
        <v>265</v>
      </c>
      <c r="K138" s="13" t="s">
        <v>389</v>
      </c>
      <c r="L138" s="13" t="s">
        <v>307</v>
      </c>
      <c r="M138" s="111" t="s">
        <v>74</v>
      </c>
      <c r="N138" s="80"/>
      <c r="O138" s="170"/>
    </row>
    <row r="139" spans="1:15" ht="210.75">
      <c r="A139" s="54">
        <v>129</v>
      </c>
      <c r="B139" s="14" t="s">
        <v>259</v>
      </c>
      <c r="C139" s="165" t="s">
        <v>260</v>
      </c>
      <c r="D139" s="14">
        <v>49231</v>
      </c>
      <c r="E139" s="150" t="s">
        <v>386</v>
      </c>
      <c r="F139" s="17" t="str">
        <f>"T_" &amp; D139 &amp; "_" &amp; COUNTIF($D$11:D139, D139)</f>
        <v>T_49231_53</v>
      </c>
      <c r="G139" s="38" t="s">
        <v>387</v>
      </c>
      <c r="H139" s="151" t="s">
        <v>268</v>
      </c>
      <c r="I139" s="13" t="s">
        <v>269</v>
      </c>
      <c r="J139" s="13" t="s">
        <v>270</v>
      </c>
      <c r="K139" s="13" t="s">
        <v>390</v>
      </c>
      <c r="L139" s="13" t="s">
        <v>307</v>
      </c>
      <c r="M139" s="111" t="s">
        <v>74</v>
      </c>
      <c r="N139" s="80"/>
      <c r="O139" s="170"/>
    </row>
    <row r="140" spans="1:15" s="158" customFormat="1" ht="210.75">
      <c r="A140" s="54">
        <v>130</v>
      </c>
      <c r="B140" s="152" t="s">
        <v>259</v>
      </c>
      <c r="C140" s="166" t="s">
        <v>260</v>
      </c>
      <c r="D140" s="152">
        <v>49231</v>
      </c>
      <c r="E140" s="153" t="s">
        <v>386</v>
      </c>
      <c r="F140" s="154" t="str">
        <f>"T_" &amp; D140 &amp; "_" &amp; COUNTIF($D$11:D140, D140)</f>
        <v>T_49231_54</v>
      </c>
      <c r="G140" s="181" t="s">
        <v>391</v>
      </c>
      <c r="H140" s="155" t="s">
        <v>268</v>
      </c>
      <c r="I140" s="156" t="s">
        <v>269</v>
      </c>
      <c r="J140" s="156" t="s">
        <v>270</v>
      </c>
      <c r="K140" s="156" t="s">
        <v>392</v>
      </c>
      <c r="L140" s="156" t="s">
        <v>307</v>
      </c>
      <c r="M140" s="111" t="s">
        <v>74</v>
      </c>
      <c r="N140" s="157"/>
      <c r="O140" s="171"/>
    </row>
    <row r="141" spans="1:15" ht="146.25">
      <c r="A141" s="54">
        <v>131</v>
      </c>
      <c r="B141" s="14" t="s">
        <v>259</v>
      </c>
      <c r="C141" s="165" t="s">
        <v>260</v>
      </c>
      <c r="D141" s="14">
        <v>49231</v>
      </c>
      <c r="E141" s="148" t="s">
        <v>393</v>
      </c>
      <c r="F141" s="17" t="str">
        <f>"T_" &amp; D141 &amp; "_" &amp; COUNTIF($D$11:D141, D141)</f>
        <v>T_49231_55</v>
      </c>
      <c r="G141" s="38" t="s">
        <v>394</v>
      </c>
      <c r="H141" s="13" t="s">
        <v>263</v>
      </c>
      <c r="I141" s="13" t="s">
        <v>395</v>
      </c>
      <c r="J141" s="13" t="s">
        <v>265</v>
      </c>
      <c r="K141" s="13" t="s">
        <v>396</v>
      </c>
      <c r="L141" s="13" t="s">
        <v>307</v>
      </c>
      <c r="M141" s="111" t="s">
        <v>74</v>
      </c>
      <c r="N141" s="80"/>
      <c r="O141" s="170"/>
    </row>
    <row r="142" spans="1:15" ht="210.75">
      <c r="A142" s="54">
        <v>132</v>
      </c>
      <c r="B142" s="14" t="s">
        <v>259</v>
      </c>
      <c r="C142" s="165" t="s">
        <v>260</v>
      </c>
      <c r="D142" s="14">
        <v>49231</v>
      </c>
      <c r="E142" s="150" t="s">
        <v>393</v>
      </c>
      <c r="F142" s="17" t="str">
        <f>"T_" &amp; D142 &amp; "_" &amp; COUNTIF($D$11:D142, D142)</f>
        <v>T_49231_56</v>
      </c>
      <c r="G142" s="38" t="s">
        <v>394</v>
      </c>
      <c r="H142" s="151" t="s">
        <v>268</v>
      </c>
      <c r="I142" s="13" t="s">
        <v>269</v>
      </c>
      <c r="J142" s="13" t="s">
        <v>270</v>
      </c>
      <c r="K142" s="13" t="s">
        <v>397</v>
      </c>
      <c r="L142" s="13" t="s">
        <v>307</v>
      </c>
      <c r="M142" s="111" t="s">
        <v>74</v>
      </c>
      <c r="N142" s="80"/>
      <c r="O142" s="170"/>
    </row>
    <row r="143" spans="1:15" ht="210.75">
      <c r="A143" s="54">
        <v>133</v>
      </c>
      <c r="B143" s="152" t="s">
        <v>259</v>
      </c>
      <c r="C143" s="166" t="s">
        <v>260</v>
      </c>
      <c r="D143" s="152">
        <v>49231</v>
      </c>
      <c r="E143" s="153" t="s">
        <v>393</v>
      </c>
      <c r="F143" s="154" t="str">
        <f>"T_" &amp; D143 &amp; "_" &amp; COUNTIF($D$11:D143, D143)</f>
        <v>T_49231_57</v>
      </c>
      <c r="G143" s="181" t="s">
        <v>398</v>
      </c>
      <c r="H143" s="155" t="s">
        <v>268</v>
      </c>
      <c r="I143" s="156" t="s">
        <v>269</v>
      </c>
      <c r="J143" s="156" t="s">
        <v>270</v>
      </c>
      <c r="K143" s="156" t="s">
        <v>399</v>
      </c>
      <c r="L143" s="156" t="s">
        <v>307</v>
      </c>
      <c r="M143" s="111" t="s">
        <v>74</v>
      </c>
      <c r="N143" s="80"/>
      <c r="O143" s="170"/>
    </row>
    <row r="144" spans="1:15" ht="146.25">
      <c r="A144" s="54">
        <v>134</v>
      </c>
      <c r="B144" s="14" t="s">
        <v>259</v>
      </c>
      <c r="C144" s="165" t="s">
        <v>260</v>
      </c>
      <c r="D144" s="14">
        <v>49231</v>
      </c>
      <c r="E144" s="148" t="s">
        <v>400</v>
      </c>
      <c r="F144" s="17" t="str">
        <f>"T_" &amp; D144 &amp; "_" &amp; COUNTIF($D$11:D144, D144)</f>
        <v>T_49231_58</v>
      </c>
      <c r="G144" s="38" t="s">
        <v>401</v>
      </c>
      <c r="H144" s="13" t="s">
        <v>263</v>
      </c>
      <c r="I144" s="13" t="s">
        <v>402</v>
      </c>
      <c r="J144" s="13" t="s">
        <v>265</v>
      </c>
      <c r="K144" s="13" t="s">
        <v>319</v>
      </c>
      <c r="L144" s="13" t="s">
        <v>307</v>
      </c>
      <c r="M144" s="112"/>
      <c r="N144" s="80"/>
      <c r="O144" s="170"/>
    </row>
    <row r="145" spans="1:15" ht="210.75">
      <c r="A145" s="54">
        <v>135</v>
      </c>
      <c r="B145" s="14" t="s">
        <v>259</v>
      </c>
      <c r="C145" s="165" t="s">
        <v>260</v>
      </c>
      <c r="D145" s="14">
        <v>49231</v>
      </c>
      <c r="E145" s="150" t="s">
        <v>400</v>
      </c>
      <c r="F145" s="17" t="str">
        <f>"T_" &amp; D145 &amp; "_" &amp; COUNTIF($D$11:D145, D145)</f>
        <v>T_49231_59</v>
      </c>
      <c r="G145" s="38" t="s">
        <v>401</v>
      </c>
      <c r="H145" s="151" t="s">
        <v>268</v>
      </c>
      <c r="I145" s="13" t="s">
        <v>269</v>
      </c>
      <c r="J145" s="13" t="s">
        <v>270</v>
      </c>
      <c r="K145" s="13" t="s">
        <v>320</v>
      </c>
      <c r="L145" s="13" t="s">
        <v>307</v>
      </c>
      <c r="M145" s="112"/>
      <c r="N145" s="80"/>
      <c r="O145" s="170"/>
    </row>
    <row r="146" spans="1:15" ht="210.75">
      <c r="A146" s="54">
        <v>136</v>
      </c>
      <c r="B146" s="152" t="s">
        <v>259</v>
      </c>
      <c r="C146" s="166" t="s">
        <v>260</v>
      </c>
      <c r="D146" s="152">
        <v>49231</v>
      </c>
      <c r="E146" s="153" t="s">
        <v>400</v>
      </c>
      <c r="F146" s="154" t="str">
        <f>"T_" &amp; D146 &amp; "_" &amp; COUNTIF($D$11:D146, D146)</f>
        <v>T_49231_60</v>
      </c>
      <c r="G146" s="181" t="s">
        <v>403</v>
      </c>
      <c r="H146" s="155" t="s">
        <v>268</v>
      </c>
      <c r="I146" s="156" t="s">
        <v>269</v>
      </c>
      <c r="J146" s="156" t="s">
        <v>270</v>
      </c>
      <c r="K146" s="156" t="s">
        <v>322</v>
      </c>
      <c r="L146" s="156" t="s">
        <v>307</v>
      </c>
      <c r="M146" s="112"/>
      <c r="N146" s="80"/>
      <c r="O146" s="170"/>
    </row>
    <row r="147" spans="1:15" ht="146.25">
      <c r="A147" s="54">
        <v>137</v>
      </c>
      <c r="B147" s="14" t="s">
        <v>259</v>
      </c>
      <c r="C147" s="165" t="s">
        <v>260</v>
      </c>
      <c r="D147" s="14">
        <v>49231</v>
      </c>
      <c r="E147" s="148" t="s">
        <v>404</v>
      </c>
      <c r="F147" s="17" t="str">
        <f>"T_" &amp; D147 &amp; "_" &amp; COUNTIF($D$11:D147, D147)</f>
        <v>T_49231_61</v>
      </c>
      <c r="G147" s="38" t="s">
        <v>405</v>
      </c>
      <c r="H147" s="13" t="s">
        <v>263</v>
      </c>
      <c r="I147" s="13" t="s">
        <v>406</v>
      </c>
      <c r="J147" s="13" t="s">
        <v>265</v>
      </c>
      <c r="K147" s="13" t="s">
        <v>407</v>
      </c>
      <c r="L147" s="13" t="s">
        <v>307</v>
      </c>
      <c r="M147" s="112"/>
      <c r="N147" s="80"/>
      <c r="O147" s="170"/>
    </row>
    <row r="148" spans="1:15" ht="210.75">
      <c r="A148" s="54">
        <v>138</v>
      </c>
      <c r="B148" s="14" t="s">
        <v>259</v>
      </c>
      <c r="C148" s="165" t="s">
        <v>260</v>
      </c>
      <c r="D148" s="14">
        <v>49231</v>
      </c>
      <c r="E148" s="150" t="s">
        <v>404</v>
      </c>
      <c r="F148" s="17" t="str">
        <f>"T_" &amp; D148 &amp; "_" &amp; COUNTIF($D$11:D148, D148)</f>
        <v>T_49231_62</v>
      </c>
      <c r="G148" s="38" t="s">
        <v>405</v>
      </c>
      <c r="H148" s="151" t="s">
        <v>268</v>
      </c>
      <c r="I148" s="13" t="s">
        <v>269</v>
      </c>
      <c r="J148" s="13" t="s">
        <v>270</v>
      </c>
      <c r="K148" s="13" t="s">
        <v>408</v>
      </c>
      <c r="L148" s="13" t="s">
        <v>307</v>
      </c>
      <c r="M148" s="112"/>
      <c r="N148" s="80"/>
      <c r="O148" s="170"/>
    </row>
    <row r="149" spans="1:15" ht="210.75">
      <c r="A149" s="54">
        <v>139</v>
      </c>
      <c r="B149" s="152" t="s">
        <v>259</v>
      </c>
      <c r="C149" s="166" t="s">
        <v>260</v>
      </c>
      <c r="D149" s="152">
        <v>49231</v>
      </c>
      <c r="E149" s="153" t="s">
        <v>404</v>
      </c>
      <c r="F149" s="154" t="str">
        <f>"T_" &amp; D149 &amp; "_" &amp; COUNTIF($D$11:D149, D149)</f>
        <v>T_49231_63</v>
      </c>
      <c r="G149" s="181" t="s">
        <v>409</v>
      </c>
      <c r="H149" s="155" t="s">
        <v>268</v>
      </c>
      <c r="I149" s="156" t="s">
        <v>269</v>
      </c>
      <c r="J149" s="156" t="s">
        <v>270</v>
      </c>
      <c r="K149" s="156" t="s">
        <v>410</v>
      </c>
      <c r="L149" s="156" t="s">
        <v>307</v>
      </c>
      <c r="M149" s="112"/>
      <c r="N149" s="80"/>
      <c r="O149" s="170"/>
    </row>
    <row r="150" spans="1:15" ht="146.25">
      <c r="A150" s="54">
        <v>140</v>
      </c>
      <c r="B150" s="14" t="s">
        <v>259</v>
      </c>
      <c r="C150" s="165" t="s">
        <v>260</v>
      </c>
      <c r="D150" s="14">
        <v>49231</v>
      </c>
      <c r="E150" s="148" t="s">
        <v>411</v>
      </c>
      <c r="F150" s="17" t="str">
        <f>"T_" &amp; D150 &amp; "_" &amp; COUNTIF($D$11:D150, D150)</f>
        <v>T_49231_64</v>
      </c>
      <c r="G150" s="38" t="s">
        <v>412</v>
      </c>
      <c r="H150" s="13" t="s">
        <v>263</v>
      </c>
      <c r="I150" s="13" t="s">
        <v>413</v>
      </c>
      <c r="J150" s="13" t="s">
        <v>265</v>
      </c>
      <c r="K150" s="13" t="s">
        <v>414</v>
      </c>
      <c r="L150" s="13" t="s">
        <v>415</v>
      </c>
      <c r="M150" s="112"/>
      <c r="N150" s="80"/>
      <c r="O150" s="170"/>
    </row>
    <row r="151" spans="1:15" ht="210.75">
      <c r="A151" s="54">
        <v>141</v>
      </c>
      <c r="B151" s="14" t="s">
        <v>259</v>
      </c>
      <c r="C151" s="165" t="s">
        <v>260</v>
      </c>
      <c r="D151" s="14">
        <v>49231</v>
      </c>
      <c r="E151" s="150" t="s">
        <v>411</v>
      </c>
      <c r="F151" s="17" t="str">
        <f>"T_" &amp; D151 &amp; "_" &amp; COUNTIF($D$11:D151, D151)</f>
        <v>T_49231_65</v>
      </c>
      <c r="G151" s="38" t="s">
        <v>412</v>
      </c>
      <c r="H151" s="151" t="s">
        <v>268</v>
      </c>
      <c r="I151" s="13" t="s">
        <v>269</v>
      </c>
      <c r="J151" s="13" t="s">
        <v>270</v>
      </c>
      <c r="K151" s="13" t="s">
        <v>416</v>
      </c>
      <c r="L151" s="13" t="s">
        <v>417</v>
      </c>
      <c r="M151" s="112"/>
      <c r="N151" s="80"/>
      <c r="O151" s="170"/>
    </row>
    <row r="152" spans="1:15" ht="210.75">
      <c r="A152" s="54">
        <v>142</v>
      </c>
      <c r="B152" s="152" t="s">
        <v>259</v>
      </c>
      <c r="C152" s="166" t="s">
        <v>260</v>
      </c>
      <c r="D152" s="152">
        <v>49231</v>
      </c>
      <c r="E152" s="153" t="s">
        <v>411</v>
      </c>
      <c r="F152" s="154" t="str">
        <f>"T_" &amp; D152 &amp; "_" &amp; COUNTIF($D$11:D152, D152)</f>
        <v>T_49231_66</v>
      </c>
      <c r="G152" s="181" t="s">
        <v>418</v>
      </c>
      <c r="H152" s="155" t="s">
        <v>268</v>
      </c>
      <c r="I152" s="156" t="s">
        <v>269</v>
      </c>
      <c r="J152" s="156" t="s">
        <v>270</v>
      </c>
      <c r="K152" s="156" t="s">
        <v>419</v>
      </c>
      <c r="L152" s="156" t="s">
        <v>415</v>
      </c>
      <c r="M152" s="112"/>
      <c r="N152" s="80"/>
      <c r="O152" s="170"/>
    </row>
    <row r="153" spans="1:15" ht="146.25">
      <c r="A153" s="54">
        <v>143</v>
      </c>
      <c r="B153" s="14" t="s">
        <v>259</v>
      </c>
      <c r="C153" s="165" t="s">
        <v>260</v>
      </c>
      <c r="D153" s="14">
        <v>49231</v>
      </c>
      <c r="E153" s="148" t="s">
        <v>420</v>
      </c>
      <c r="F153" s="17" t="str">
        <f>"T_" &amp; D153 &amp; "_" &amp; COUNTIF($D$11:D153, D153)</f>
        <v>T_49231_67</v>
      </c>
      <c r="G153" s="38" t="s">
        <v>421</v>
      </c>
      <c r="H153" s="13" t="s">
        <v>263</v>
      </c>
      <c r="I153" s="13" t="s">
        <v>422</v>
      </c>
      <c r="J153" s="13" t="s">
        <v>265</v>
      </c>
      <c r="K153" s="13" t="s">
        <v>423</v>
      </c>
      <c r="L153" s="13" t="s">
        <v>424</v>
      </c>
      <c r="M153" s="112"/>
      <c r="N153" s="80"/>
      <c r="O153" s="170"/>
    </row>
    <row r="154" spans="1:15" ht="210.75">
      <c r="A154" s="54">
        <v>144</v>
      </c>
      <c r="B154" s="14" t="s">
        <v>259</v>
      </c>
      <c r="C154" s="165" t="s">
        <v>260</v>
      </c>
      <c r="D154" s="14">
        <v>49231</v>
      </c>
      <c r="E154" s="150" t="s">
        <v>420</v>
      </c>
      <c r="F154" s="17" t="str">
        <f>"T_" &amp; D154 &amp; "_" &amp; COUNTIF($D$11:D154, D154)</f>
        <v>T_49231_68</v>
      </c>
      <c r="G154" s="38" t="s">
        <v>421</v>
      </c>
      <c r="H154" s="151" t="s">
        <v>268</v>
      </c>
      <c r="I154" s="13" t="s">
        <v>269</v>
      </c>
      <c r="J154" s="13" t="s">
        <v>270</v>
      </c>
      <c r="K154" s="13" t="s">
        <v>425</v>
      </c>
      <c r="L154" s="13" t="s">
        <v>426</v>
      </c>
      <c r="M154" s="112"/>
      <c r="N154" s="80"/>
      <c r="O154" s="170"/>
    </row>
    <row r="155" spans="1:15" ht="210.75">
      <c r="A155" s="54">
        <v>145</v>
      </c>
      <c r="B155" s="152" t="s">
        <v>259</v>
      </c>
      <c r="C155" s="166" t="s">
        <v>260</v>
      </c>
      <c r="D155" s="152">
        <v>49231</v>
      </c>
      <c r="E155" s="153" t="s">
        <v>420</v>
      </c>
      <c r="F155" s="154" t="str">
        <f>"T_" &amp; D155 &amp; "_" &amp; COUNTIF($D$11:D155, D155)</f>
        <v>T_49231_69</v>
      </c>
      <c r="G155" s="181" t="s">
        <v>427</v>
      </c>
      <c r="H155" s="155" t="s">
        <v>268</v>
      </c>
      <c r="I155" s="156" t="s">
        <v>269</v>
      </c>
      <c r="J155" s="156" t="s">
        <v>270</v>
      </c>
      <c r="K155" s="156" t="s">
        <v>428</v>
      </c>
      <c r="L155" s="156" t="s">
        <v>429</v>
      </c>
      <c r="M155" s="112"/>
      <c r="N155" s="80"/>
      <c r="O155" s="170"/>
    </row>
    <row r="156" spans="1:15" ht="146.25">
      <c r="A156" s="54">
        <v>146</v>
      </c>
      <c r="B156" s="14" t="s">
        <v>259</v>
      </c>
      <c r="C156" s="165" t="s">
        <v>260</v>
      </c>
      <c r="D156" s="14">
        <v>49231</v>
      </c>
      <c r="E156" s="148" t="s">
        <v>430</v>
      </c>
      <c r="F156" s="17" t="str">
        <f>"T_" &amp; D156 &amp; "_" &amp; COUNTIF($D$11:D156, D156)</f>
        <v>T_49231_70</v>
      </c>
      <c r="G156" s="38" t="s">
        <v>431</v>
      </c>
      <c r="H156" s="13" t="s">
        <v>263</v>
      </c>
      <c r="I156" s="13" t="s">
        <v>432</v>
      </c>
      <c r="J156" s="13" t="s">
        <v>433</v>
      </c>
      <c r="K156" s="13" t="s">
        <v>434</v>
      </c>
      <c r="L156" s="13" t="s">
        <v>435</v>
      </c>
      <c r="M156" s="112"/>
      <c r="N156" s="80"/>
      <c r="O156" s="170"/>
    </row>
    <row r="157" spans="1:15" ht="243">
      <c r="A157" s="54">
        <v>147</v>
      </c>
      <c r="B157" s="14" t="s">
        <v>259</v>
      </c>
      <c r="C157" s="165" t="s">
        <v>260</v>
      </c>
      <c r="D157" s="14">
        <v>49231</v>
      </c>
      <c r="E157" s="150" t="s">
        <v>430</v>
      </c>
      <c r="F157" s="17" t="str">
        <f>"T_" &amp; D157 &amp; "_" &amp; COUNTIF($D$11:D157, D157)</f>
        <v>T_49231_71</v>
      </c>
      <c r="G157" s="38" t="s">
        <v>431</v>
      </c>
      <c r="H157" s="151" t="s">
        <v>268</v>
      </c>
      <c r="I157" s="13" t="s">
        <v>436</v>
      </c>
      <c r="J157" s="13" t="s">
        <v>437</v>
      </c>
      <c r="K157" s="13" t="s">
        <v>438</v>
      </c>
      <c r="L157" s="13" t="s">
        <v>435</v>
      </c>
      <c r="M157" s="112"/>
      <c r="N157" s="80"/>
      <c r="O157" s="170"/>
    </row>
    <row r="158" spans="1:15" ht="210.75">
      <c r="A158" s="54">
        <v>148</v>
      </c>
      <c r="B158" s="152" t="s">
        <v>259</v>
      </c>
      <c r="C158" s="166" t="s">
        <v>260</v>
      </c>
      <c r="D158" s="152">
        <v>49231</v>
      </c>
      <c r="E158" s="153" t="s">
        <v>430</v>
      </c>
      <c r="F158" s="154" t="str">
        <f>"T_" &amp; D158 &amp; "_" &amp; COUNTIF($D$11:D158, D158)</f>
        <v>T_49231_72</v>
      </c>
      <c r="G158" s="181" t="s">
        <v>439</v>
      </c>
      <c r="H158" s="155" t="s">
        <v>268</v>
      </c>
      <c r="I158" s="13" t="s">
        <v>436</v>
      </c>
      <c r="J158" s="13" t="s">
        <v>437</v>
      </c>
      <c r="K158" s="156" t="s">
        <v>440</v>
      </c>
      <c r="L158" s="13" t="s">
        <v>435</v>
      </c>
      <c r="M158" s="112"/>
      <c r="N158" s="80"/>
      <c r="O158" s="170"/>
    </row>
    <row r="159" spans="1:15" ht="146.25">
      <c r="A159" s="54">
        <v>149</v>
      </c>
      <c r="B159" s="14" t="s">
        <v>259</v>
      </c>
      <c r="C159" s="165" t="s">
        <v>260</v>
      </c>
      <c r="D159" s="14">
        <v>49231</v>
      </c>
      <c r="E159" s="148" t="s">
        <v>441</v>
      </c>
      <c r="F159" s="17" t="str">
        <f>"T_" &amp; D159 &amp; "_" &amp; COUNTIF($D$11:D159, D159)</f>
        <v>T_49231_73</v>
      </c>
      <c r="G159" s="38" t="s">
        <v>442</v>
      </c>
      <c r="H159" s="13" t="s">
        <v>263</v>
      </c>
      <c r="I159" s="13" t="s">
        <v>432</v>
      </c>
      <c r="J159" s="13" t="s">
        <v>433</v>
      </c>
      <c r="K159" s="13" t="s">
        <v>443</v>
      </c>
      <c r="L159" s="13" t="s">
        <v>444</v>
      </c>
      <c r="M159" s="112"/>
      <c r="N159" s="80"/>
      <c r="O159" s="170"/>
    </row>
    <row r="160" spans="1:15" ht="243">
      <c r="A160" s="54">
        <v>150</v>
      </c>
      <c r="B160" s="14" t="s">
        <v>259</v>
      </c>
      <c r="C160" s="165" t="s">
        <v>260</v>
      </c>
      <c r="D160" s="14">
        <v>49231</v>
      </c>
      <c r="E160" s="150" t="s">
        <v>441</v>
      </c>
      <c r="F160" s="17" t="str">
        <f>"T_" &amp; D160 &amp; "_" &amp; COUNTIF($D$11:D160, D160)</f>
        <v>T_49231_74</v>
      </c>
      <c r="G160" s="38" t="s">
        <v>442</v>
      </c>
      <c r="H160" s="151" t="s">
        <v>268</v>
      </c>
      <c r="I160" s="13" t="s">
        <v>436</v>
      </c>
      <c r="J160" s="13" t="s">
        <v>437</v>
      </c>
      <c r="K160" s="13" t="s">
        <v>445</v>
      </c>
      <c r="L160" s="13" t="s">
        <v>444</v>
      </c>
      <c r="M160" s="112"/>
      <c r="N160" s="80"/>
      <c r="O160" s="170"/>
    </row>
    <row r="161" spans="1:15" ht="226.5">
      <c r="A161" s="54">
        <v>151</v>
      </c>
      <c r="B161" s="152" t="s">
        <v>259</v>
      </c>
      <c r="C161" s="166" t="s">
        <v>260</v>
      </c>
      <c r="D161" s="152">
        <v>49231</v>
      </c>
      <c r="E161" s="153" t="s">
        <v>446</v>
      </c>
      <c r="F161" s="154" t="str">
        <f>"T_" &amp; D161 &amp; "_" &amp; COUNTIF($D$11:D161, D161)</f>
        <v>T_49231_75</v>
      </c>
      <c r="G161" s="181" t="s">
        <v>447</v>
      </c>
      <c r="H161" s="155" t="s">
        <v>268</v>
      </c>
      <c r="I161" s="13" t="s">
        <v>436</v>
      </c>
      <c r="J161" s="13" t="s">
        <v>437</v>
      </c>
      <c r="K161" s="156" t="s">
        <v>448</v>
      </c>
      <c r="L161" s="13" t="s">
        <v>444</v>
      </c>
      <c r="M161" s="112"/>
      <c r="N161" s="80"/>
      <c r="O161" s="170"/>
    </row>
    <row r="162" spans="1:15" ht="48.75">
      <c r="A162" s="54">
        <v>152</v>
      </c>
      <c r="B162" s="13" t="s">
        <v>449</v>
      </c>
      <c r="C162" s="162" t="s">
        <v>450</v>
      </c>
      <c r="D162" s="14"/>
      <c r="E162" s="13" t="s">
        <v>451</v>
      </c>
      <c r="F162" s="14"/>
      <c r="G162" s="13" t="s">
        <v>452</v>
      </c>
      <c r="H162" s="14"/>
      <c r="I162" s="13" t="s">
        <v>453</v>
      </c>
      <c r="J162" s="14" t="s">
        <v>454</v>
      </c>
      <c r="K162" s="13" t="s">
        <v>455</v>
      </c>
      <c r="L162" s="13" t="s">
        <v>456</v>
      </c>
      <c r="M162" s="111" t="s">
        <v>74</v>
      </c>
      <c r="N162" s="80"/>
    </row>
    <row r="163" spans="1:15" ht="48.75">
      <c r="A163" s="54">
        <v>153</v>
      </c>
      <c r="B163" s="13" t="s">
        <v>449</v>
      </c>
      <c r="C163" s="162" t="s">
        <v>450</v>
      </c>
      <c r="D163" s="13"/>
      <c r="E163" s="13" t="s">
        <v>457</v>
      </c>
      <c r="F163" s="14"/>
      <c r="G163" s="13" t="s">
        <v>458</v>
      </c>
      <c r="H163" s="13"/>
      <c r="I163" s="13" t="s">
        <v>453</v>
      </c>
      <c r="J163" s="14" t="s">
        <v>454</v>
      </c>
      <c r="K163" s="13" t="s">
        <v>459</v>
      </c>
      <c r="L163" s="13" t="s">
        <v>460</v>
      </c>
      <c r="M163" s="111" t="s">
        <v>74</v>
      </c>
      <c r="N163" s="80"/>
    </row>
    <row r="164" spans="1:15" ht="81">
      <c r="A164" s="54"/>
      <c r="B164" s="13" t="s">
        <v>449</v>
      </c>
      <c r="C164" s="162" t="s">
        <v>461</v>
      </c>
      <c r="D164" s="13"/>
      <c r="E164" s="13" t="s">
        <v>462</v>
      </c>
      <c r="F164" s="14"/>
      <c r="G164" s="13" t="s">
        <v>463</v>
      </c>
      <c r="H164" s="13"/>
      <c r="I164" s="13" t="s">
        <v>464</v>
      </c>
      <c r="J164" s="14" t="s">
        <v>454</v>
      </c>
      <c r="K164" s="13" t="s">
        <v>465</v>
      </c>
      <c r="L164" s="13" t="s">
        <v>466</v>
      </c>
      <c r="M164" s="111"/>
      <c r="N164" s="80"/>
    </row>
    <row r="165" spans="1:15" ht="81">
      <c r="A165" s="54"/>
      <c r="B165" s="13" t="s">
        <v>449</v>
      </c>
      <c r="C165" s="162" t="s">
        <v>461</v>
      </c>
      <c r="D165" s="13"/>
      <c r="E165" s="13" t="s">
        <v>467</v>
      </c>
      <c r="F165" s="14"/>
      <c r="G165" s="13" t="s">
        <v>468</v>
      </c>
      <c r="H165" s="13"/>
      <c r="I165" s="13" t="s">
        <v>464</v>
      </c>
      <c r="J165" s="14" t="s">
        <v>454</v>
      </c>
      <c r="K165" s="13" t="s">
        <v>469</v>
      </c>
      <c r="L165" s="13" t="s">
        <v>470</v>
      </c>
      <c r="M165" s="111"/>
      <c r="N165" s="80"/>
    </row>
    <row r="166" spans="1:15" ht="64.5">
      <c r="A166" s="54">
        <v>154</v>
      </c>
      <c r="B166" s="13" t="s">
        <v>449</v>
      </c>
      <c r="C166" s="164" t="s">
        <v>471</v>
      </c>
      <c r="D166" s="13"/>
      <c r="E166" s="13" t="s">
        <v>472</v>
      </c>
      <c r="F166" s="13"/>
      <c r="G166" s="13" t="s">
        <v>473</v>
      </c>
      <c r="H166" s="13"/>
      <c r="I166" s="13" t="s">
        <v>474</v>
      </c>
      <c r="J166" s="13" t="s">
        <v>475</v>
      </c>
      <c r="K166" s="13" t="s">
        <v>476</v>
      </c>
      <c r="L166" s="13" t="s">
        <v>477</v>
      </c>
      <c r="M166" s="111" t="s">
        <v>74</v>
      </c>
      <c r="N166" s="80"/>
    </row>
    <row r="167" spans="1:15" ht="64.5">
      <c r="A167" s="54">
        <v>155</v>
      </c>
      <c r="B167" s="13" t="s">
        <v>449</v>
      </c>
      <c r="C167" s="164" t="s">
        <v>471</v>
      </c>
      <c r="D167" s="13"/>
      <c r="E167" s="13" t="s">
        <v>478</v>
      </c>
      <c r="F167" s="13"/>
      <c r="G167" s="13" t="s">
        <v>479</v>
      </c>
      <c r="H167" s="13"/>
      <c r="I167" s="13" t="s">
        <v>474</v>
      </c>
      <c r="J167" s="13" t="s">
        <v>475</v>
      </c>
      <c r="K167" s="13" t="s">
        <v>476</v>
      </c>
      <c r="L167" s="13" t="s">
        <v>480</v>
      </c>
      <c r="M167" s="111" t="s">
        <v>74</v>
      </c>
      <c r="N167" s="80"/>
    </row>
    <row r="168" spans="1:15" ht="48.75">
      <c r="A168" s="54">
        <v>156</v>
      </c>
      <c r="B168" s="13" t="s">
        <v>449</v>
      </c>
      <c r="C168" s="164" t="s">
        <v>471</v>
      </c>
      <c r="D168" s="13"/>
      <c r="E168" s="13" t="s">
        <v>481</v>
      </c>
      <c r="F168" s="13"/>
      <c r="G168" s="13" t="s">
        <v>482</v>
      </c>
      <c r="H168" s="13"/>
      <c r="I168" s="13" t="s">
        <v>474</v>
      </c>
      <c r="J168" s="13" t="s">
        <v>475</v>
      </c>
      <c r="K168" s="13" t="s">
        <v>483</v>
      </c>
      <c r="L168" s="13" t="s">
        <v>484</v>
      </c>
      <c r="M168" s="111" t="s">
        <v>74</v>
      </c>
      <c r="N168" s="80"/>
    </row>
    <row r="169" spans="1:15" ht="64.5">
      <c r="A169" s="54">
        <v>157</v>
      </c>
      <c r="B169" s="13" t="s">
        <v>449</v>
      </c>
      <c r="C169" s="164" t="s">
        <v>485</v>
      </c>
      <c r="D169" s="13"/>
      <c r="E169" s="13" t="s">
        <v>486</v>
      </c>
      <c r="F169" s="13"/>
      <c r="G169" s="13" t="s">
        <v>487</v>
      </c>
      <c r="H169" s="13"/>
      <c r="I169" s="13" t="s">
        <v>488</v>
      </c>
      <c r="J169" s="13" t="s">
        <v>489</v>
      </c>
      <c r="K169" s="13" t="s">
        <v>490</v>
      </c>
      <c r="L169" s="13" t="s">
        <v>491</v>
      </c>
      <c r="M169" s="111" t="s">
        <v>74</v>
      </c>
      <c r="N169" s="80"/>
    </row>
    <row r="170" spans="1:15" ht="96.75">
      <c r="A170" s="54">
        <v>158</v>
      </c>
      <c r="B170" s="13" t="s">
        <v>449</v>
      </c>
      <c r="C170" s="164" t="s">
        <v>485</v>
      </c>
      <c r="D170" s="13"/>
      <c r="E170" s="13" t="s">
        <v>492</v>
      </c>
      <c r="F170" s="13"/>
      <c r="G170" s="13" t="s">
        <v>493</v>
      </c>
      <c r="H170" s="13"/>
      <c r="I170" s="13" t="s">
        <v>494</v>
      </c>
      <c r="J170" s="13" t="s">
        <v>495</v>
      </c>
      <c r="K170" s="13" t="s">
        <v>496</v>
      </c>
      <c r="L170" s="13" t="s">
        <v>497</v>
      </c>
      <c r="M170" s="111" t="s">
        <v>74</v>
      </c>
      <c r="N170" s="80"/>
    </row>
    <row r="171" spans="1:15" ht="96.75">
      <c r="A171" s="54">
        <v>159</v>
      </c>
      <c r="B171" s="13" t="s">
        <v>449</v>
      </c>
      <c r="C171" s="164" t="s">
        <v>485</v>
      </c>
      <c r="D171" s="13"/>
      <c r="E171" s="13" t="s">
        <v>498</v>
      </c>
      <c r="F171" s="13"/>
      <c r="G171" s="13" t="s">
        <v>499</v>
      </c>
      <c r="H171" s="13"/>
      <c r="I171" s="13" t="s">
        <v>488</v>
      </c>
      <c r="J171" s="13" t="s">
        <v>495</v>
      </c>
      <c r="K171" s="13" t="s">
        <v>500</v>
      </c>
      <c r="L171" s="13" t="s">
        <v>501</v>
      </c>
      <c r="M171" s="111" t="s">
        <v>74</v>
      </c>
      <c r="N171" s="80"/>
    </row>
    <row r="172" spans="1:15" ht="48.75">
      <c r="A172" s="54">
        <v>160</v>
      </c>
      <c r="B172" s="13" t="s">
        <v>449</v>
      </c>
      <c r="C172" s="164" t="s">
        <v>502</v>
      </c>
      <c r="D172" s="13"/>
      <c r="E172" s="13" t="s">
        <v>503</v>
      </c>
      <c r="F172" s="13"/>
      <c r="G172" s="13" t="s">
        <v>504</v>
      </c>
      <c r="H172" s="13"/>
      <c r="I172" s="13" t="s">
        <v>505</v>
      </c>
      <c r="J172" s="13" t="s">
        <v>506</v>
      </c>
      <c r="K172" s="13" t="s">
        <v>507</v>
      </c>
      <c r="L172" s="13" t="s">
        <v>508</v>
      </c>
      <c r="M172" s="111" t="s">
        <v>74</v>
      </c>
      <c r="N172" s="80"/>
    </row>
    <row r="173" spans="1:15" ht="48.75">
      <c r="A173" s="54">
        <v>161</v>
      </c>
      <c r="B173" s="13" t="s">
        <v>449</v>
      </c>
      <c r="C173" s="164" t="s">
        <v>502</v>
      </c>
      <c r="D173" s="13"/>
      <c r="E173" s="13" t="s">
        <v>509</v>
      </c>
      <c r="F173" s="13"/>
      <c r="G173" s="13" t="s">
        <v>510</v>
      </c>
      <c r="H173" s="13"/>
      <c r="I173" s="13" t="s">
        <v>505</v>
      </c>
      <c r="J173" s="13" t="s">
        <v>506</v>
      </c>
      <c r="K173" s="13" t="s">
        <v>511</v>
      </c>
      <c r="L173" s="13" t="s">
        <v>512</v>
      </c>
      <c r="M173" s="111" t="s">
        <v>74</v>
      </c>
      <c r="N173" s="80"/>
    </row>
    <row r="174" spans="1:15" ht="48.75">
      <c r="A174" s="54">
        <v>162</v>
      </c>
      <c r="B174" s="13" t="s">
        <v>449</v>
      </c>
      <c r="C174" s="161" t="s">
        <v>513</v>
      </c>
      <c r="D174" s="48"/>
      <c r="E174" s="13" t="s">
        <v>514</v>
      </c>
      <c r="F174" s="13"/>
      <c r="G174" s="13" t="s">
        <v>515</v>
      </c>
      <c r="H174" s="13"/>
      <c r="I174" s="13" t="s">
        <v>505</v>
      </c>
      <c r="J174" s="13" t="s">
        <v>506</v>
      </c>
      <c r="K174" s="13" t="s">
        <v>516</v>
      </c>
      <c r="L174" s="13" t="s">
        <v>517</v>
      </c>
      <c r="M174" s="111" t="s">
        <v>74</v>
      </c>
      <c r="N174" s="121"/>
    </row>
    <row r="175" spans="1:15" ht="48.75">
      <c r="A175" s="54">
        <v>163</v>
      </c>
      <c r="B175" s="13" t="s">
        <v>449</v>
      </c>
      <c r="C175" s="161" t="s">
        <v>513</v>
      </c>
      <c r="D175" s="13"/>
      <c r="E175" s="13" t="s">
        <v>518</v>
      </c>
      <c r="F175" s="13"/>
      <c r="G175" s="13" t="s">
        <v>519</v>
      </c>
      <c r="H175" s="13"/>
      <c r="I175" s="13" t="s">
        <v>505</v>
      </c>
      <c r="J175" s="13" t="s">
        <v>506</v>
      </c>
      <c r="K175" s="13" t="s">
        <v>520</v>
      </c>
      <c r="L175" s="13" t="s">
        <v>521</v>
      </c>
      <c r="M175" s="111" t="s">
        <v>74</v>
      </c>
      <c r="N175" s="80"/>
    </row>
    <row r="176" spans="1:15" ht="96.75">
      <c r="A176" s="54">
        <v>164</v>
      </c>
      <c r="B176" s="13" t="s">
        <v>449</v>
      </c>
      <c r="C176" s="164" t="s">
        <v>522</v>
      </c>
      <c r="D176" s="13"/>
      <c r="E176" s="13" t="s">
        <v>523</v>
      </c>
      <c r="F176" s="13"/>
      <c r="G176" s="13" t="s">
        <v>524</v>
      </c>
      <c r="H176" s="13"/>
      <c r="I176" s="13" t="s">
        <v>525</v>
      </c>
      <c r="J176" s="13" t="s">
        <v>526</v>
      </c>
      <c r="K176" s="13" t="s">
        <v>527</v>
      </c>
      <c r="L176" s="13" t="s">
        <v>528</v>
      </c>
      <c r="M176" s="111" t="s">
        <v>74</v>
      </c>
      <c r="N176" s="80"/>
    </row>
    <row r="177" spans="1:15" ht="81">
      <c r="A177" s="54">
        <v>165</v>
      </c>
      <c r="B177" s="13" t="s">
        <v>449</v>
      </c>
      <c r="C177" s="164" t="s">
        <v>522</v>
      </c>
      <c r="D177" s="13"/>
      <c r="E177" s="13" t="s">
        <v>523</v>
      </c>
      <c r="F177" s="13"/>
      <c r="G177" s="13" t="s">
        <v>524</v>
      </c>
      <c r="H177" s="13"/>
      <c r="I177" s="13" t="s">
        <v>525</v>
      </c>
      <c r="J177" s="13" t="s">
        <v>526</v>
      </c>
      <c r="K177" s="13" t="s">
        <v>529</v>
      </c>
      <c r="L177" s="13" t="s">
        <v>530</v>
      </c>
      <c r="M177" s="111" t="s">
        <v>74</v>
      </c>
      <c r="N177" s="80"/>
      <c r="O177" s="13" t="s">
        <v>531</v>
      </c>
    </row>
    <row r="178" spans="1:15" ht="81">
      <c r="A178" s="54">
        <v>166</v>
      </c>
      <c r="B178" s="13" t="s">
        <v>449</v>
      </c>
      <c r="C178" s="164" t="s">
        <v>522</v>
      </c>
      <c r="D178" s="13"/>
      <c r="E178" s="48" t="s">
        <v>532</v>
      </c>
      <c r="F178" s="13"/>
      <c r="G178" s="13" t="s">
        <v>533</v>
      </c>
      <c r="H178" s="13"/>
      <c r="I178" s="13" t="s">
        <v>525</v>
      </c>
      <c r="J178" s="13" t="s">
        <v>526</v>
      </c>
      <c r="K178" s="13" t="s">
        <v>534</v>
      </c>
      <c r="L178" s="13" t="s">
        <v>535</v>
      </c>
      <c r="M178" s="111" t="s">
        <v>74</v>
      </c>
      <c r="N178" s="121"/>
      <c r="O178" s="13" t="s">
        <v>536</v>
      </c>
    </row>
    <row r="179" spans="1:15" ht="113.25">
      <c r="A179" s="54">
        <v>167</v>
      </c>
      <c r="B179" s="13" t="s">
        <v>449</v>
      </c>
      <c r="C179" s="164" t="s">
        <v>522</v>
      </c>
      <c r="D179" s="56"/>
      <c r="E179" s="13" t="s">
        <v>537</v>
      </c>
      <c r="F179" s="38"/>
      <c r="G179" s="13" t="s">
        <v>538</v>
      </c>
      <c r="H179" s="13"/>
      <c r="I179" s="13" t="s">
        <v>539</v>
      </c>
      <c r="J179" s="13" t="s">
        <v>526</v>
      </c>
      <c r="K179" s="48" t="s">
        <v>540</v>
      </c>
      <c r="L179" s="48" t="s">
        <v>541</v>
      </c>
      <c r="M179" s="111" t="s">
        <v>74</v>
      </c>
      <c r="N179" s="80"/>
    </row>
    <row r="180" spans="1:15" ht="86.25" customHeight="1">
      <c r="A180" s="54">
        <v>168</v>
      </c>
      <c r="B180" s="13" t="s">
        <v>449</v>
      </c>
      <c r="C180" s="164" t="s">
        <v>522</v>
      </c>
      <c r="D180" s="13"/>
      <c r="E180" s="13" t="s">
        <v>542</v>
      </c>
      <c r="F180" s="38"/>
      <c r="G180" s="48" t="s">
        <v>543</v>
      </c>
      <c r="H180" s="13"/>
      <c r="I180" s="13" t="s">
        <v>539</v>
      </c>
      <c r="J180" s="56" t="s">
        <v>526</v>
      </c>
      <c r="K180" s="13" t="s">
        <v>544</v>
      </c>
      <c r="L180" s="13" t="s">
        <v>545</v>
      </c>
      <c r="M180" s="111" t="s">
        <v>74</v>
      </c>
      <c r="N180" s="80"/>
    </row>
    <row r="181" spans="1:15" ht="64.5">
      <c r="A181" s="54">
        <v>169</v>
      </c>
      <c r="B181" s="13" t="s">
        <v>449</v>
      </c>
      <c r="C181" s="164" t="s">
        <v>546</v>
      </c>
      <c r="D181" s="13"/>
      <c r="E181" s="13" t="s">
        <v>547</v>
      </c>
      <c r="F181" s="56"/>
      <c r="G181" s="182" t="s">
        <v>548</v>
      </c>
      <c r="H181" s="38"/>
      <c r="I181" s="13" t="s">
        <v>453</v>
      </c>
      <c r="J181" s="13" t="s">
        <v>454</v>
      </c>
      <c r="K181" s="163" t="s">
        <v>549</v>
      </c>
      <c r="L181" s="163" t="s">
        <v>550</v>
      </c>
      <c r="M181" s="111" t="s">
        <v>74</v>
      </c>
      <c r="N181" s="80"/>
    </row>
    <row r="182" spans="1:15" ht="108" customHeight="1">
      <c r="A182" s="54">
        <v>170</v>
      </c>
      <c r="B182" s="13" t="s">
        <v>449</v>
      </c>
      <c r="C182" s="164" t="s">
        <v>546</v>
      </c>
      <c r="D182" s="13"/>
      <c r="E182" s="13" t="s">
        <v>551</v>
      </c>
      <c r="F182" s="13"/>
      <c r="G182" s="183" t="s">
        <v>552</v>
      </c>
      <c r="H182" s="13"/>
      <c r="I182" s="13" t="s">
        <v>553</v>
      </c>
      <c r="J182" s="13" t="s">
        <v>554</v>
      </c>
      <c r="K182" s="13" t="s">
        <v>555</v>
      </c>
      <c r="L182" s="13" t="s">
        <v>556</v>
      </c>
      <c r="M182" s="111" t="s">
        <v>74</v>
      </c>
      <c r="N182" s="80"/>
      <c r="O182" s="13" t="s">
        <v>557</v>
      </c>
    </row>
    <row r="183" spans="1:15" ht="64.5">
      <c r="A183" s="54">
        <v>171</v>
      </c>
      <c r="B183" s="13" t="s">
        <v>449</v>
      </c>
      <c r="C183" s="164" t="s">
        <v>546</v>
      </c>
      <c r="D183" s="13"/>
      <c r="E183" s="13" t="s">
        <v>558</v>
      </c>
      <c r="F183" s="13"/>
      <c r="G183" s="13" t="s">
        <v>559</v>
      </c>
      <c r="H183" s="13"/>
      <c r="I183" s="13" t="s">
        <v>453</v>
      </c>
      <c r="J183" s="13" t="s">
        <v>454</v>
      </c>
      <c r="K183" s="13" t="s">
        <v>560</v>
      </c>
      <c r="L183" s="13" t="s">
        <v>561</v>
      </c>
      <c r="M183" s="111" t="s">
        <v>74</v>
      </c>
      <c r="N183" s="80"/>
    </row>
    <row r="184" spans="1:15" ht="96.75">
      <c r="A184" s="54">
        <v>172</v>
      </c>
      <c r="B184" s="13" t="s">
        <v>449</v>
      </c>
      <c r="C184" s="164" t="s">
        <v>562</v>
      </c>
      <c r="D184" s="13"/>
      <c r="E184" s="13" t="s">
        <v>563</v>
      </c>
      <c r="F184" s="13"/>
      <c r="G184" s="13" t="s">
        <v>564</v>
      </c>
      <c r="H184" s="13"/>
      <c r="I184" s="13" t="s">
        <v>565</v>
      </c>
      <c r="J184" s="13" t="s">
        <v>566</v>
      </c>
      <c r="K184" s="13" t="s">
        <v>567</v>
      </c>
      <c r="L184" s="13" t="s">
        <v>568</v>
      </c>
      <c r="M184" s="111" t="s">
        <v>74</v>
      </c>
      <c r="N184" s="80"/>
    </row>
    <row r="185" spans="1:15" ht="82.5" customHeight="1">
      <c r="A185" s="54">
        <v>173</v>
      </c>
      <c r="B185" s="13" t="s">
        <v>449</v>
      </c>
      <c r="C185" s="164" t="s">
        <v>562</v>
      </c>
      <c r="D185" s="13"/>
      <c r="E185" s="13" t="s">
        <v>563</v>
      </c>
      <c r="F185" s="13"/>
      <c r="G185" s="13" t="s">
        <v>569</v>
      </c>
      <c r="H185" s="13"/>
      <c r="I185" s="13" t="s">
        <v>565</v>
      </c>
      <c r="J185" s="13" t="s">
        <v>566</v>
      </c>
      <c r="K185" s="13" t="s">
        <v>570</v>
      </c>
      <c r="L185" s="13" t="s">
        <v>568</v>
      </c>
      <c r="M185" s="111" t="s">
        <v>74</v>
      </c>
      <c r="N185" s="80"/>
    </row>
    <row r="186" spans="1:15" ht="96.75">
      <c r="A186" s="54">
        <v>174</v>
      </c>
      <c r="B186" s="13" t="s">
        <v>449</v>
      </c>
      <c r="C186" s="164" t="s">
        <v>562</v>
      </c>
      <c r="D186" s="13"/>
      <c r="E186" s="13" t="s">
        <v>563</v>
      </c>
      <c r="F186" s="13"/>
      <c r="G186" s="13" t="s">
        <v>571</v>
      </c>
      <c r="H186" s="13"/>
      <c r="I186" s="13" t="s">
        <v>565</v>
      </c>
      <c r="J186" s="13" t="s">
        <v>566</v>
      </c>
      <c r="K186" s="13" t="s">
        <v>572</v>
      </c>
      <c r="L186" s="13" t="s">
        <v>568</v>
      </c>
      <c r="M186" s="111" t="s">
        <v>74</v>
      </c>
      <c r="N186" s="80"/>
    </row>
    <row r="187" spans="1:15" ht="96.75">
      <c r="A187" s="54">
        <v>175</v>
      </c>
      <c r="B187" s="13" t="s">
        <v>449</v>
      </c>
      <c r="C187" s="164" t="s">
        <v>562</v>
      </c>
      <c r="D187" s="13"/>
      <c r="E187" s="13" t="s">
        <v>563</v>
      </c>
      <c r="F187" s="13"/>
      <c r="G187" s="13" t="s">
        <v>573</v>
      </c>
      <c r="H187" s="13"/>
      <c r="I187" s="13" t="s">
        <v>565</v>
      </c>
      <c r="J187" s="13" t="s">
        <v>566</v>
      </c>
      <c r="K187" s="13" t="s">
        <v>574</v>
      </c>
      <c r="L187" s="13" t="s">
        <v>568</v>
      </c>
      <c r="M187" s="111" t="s">
        <v>74</v>
      </c>
      <c r="N187" s="80"/>
    </row>
    <row r="188" spans="1:15" ht="96.75">
      <c r="A188" s="54">
        <v>176</v>
      </c>
      <c r="B188" s="13" t="s">
        <v>449</v>
      </c>
      <c r="C188" s="164" t="s">
        <v>562</v>
      </c>
      <c r="D188" s="13"/>
      <c r="E188" s="13" t="s">
        <v>563</v>
      </c>
      <c r="F188" s="13"/>
      <c r="G188" s="13" t="s">
        <v>575</v>
      </c>
      <c r="H188" s="13"/>
      <c r="I188" s="13" t="s">
        <v>565</v>
      </c>
      <c r="J188" s="13" t="s">
        <v>566</v>
      </c>
      <c r="K188" s="13" t="s">
        <v>576</v>
      </c>
      <c r="L188" s="13" t="s">
        <v>568</v>
      </c>
      <c r="M188" s="111" t="s">
        <v>74</v>
      </c>
      <c r="N188" s="80"/>
    </row>
    <row r="189" spans="1:15" ht="96.75">
      <c r="A189" s="54">
        <v>177</v>
      </c>
      <c r="B189" s="13" t="s">
        <v>449</v>
      </c>
      <c r="C189" s="164" t="s">
        <v>562</v>
      </c>
      <c r="D189" s="18"/>
      <c r="E189" s="13" t="s">
        <v>563</v>
      </c>
      <c r="F189" s="18"/>
      <c r="G189" s="13" t="s">
        <v>577</v>
      </c>
      <c r="H189" s="14"/>
      <c r="I189" s="13" t="s">
        <v>565</v>
      </c>
      <c r="J189" s="13" t="s">
        <v>566</v>
      </c>
      <c r="K189" s="13" t="s">
        <v>578</v>
      </c>
      <c r="L189" s="13" t="s">
        <v>568</v>
      </c>
      <c r="M189" s="111" t="s">
        <v>74</v>
      </c>
      <c r="N189" s="80"/>
    </row>
    <row r="190" spans="1:15" ht="66.75" customHeight="1">
      <c r="A190" s="54">
        <v>178</v>
      </c>
      <c r="B190" s="13" t="s">
        <v>449</v>
      </c>
      <c r="C190" s="164" t="s">
        <v>562</v>
      </c>
      <c r="D190" s="18"/>
      <c r="E190" s="13" t="s">
        <v>563</v>
      </c>
      <c r="F190" s="18"/>
      <c r="G190" s="13" t="s">
        <v>579</v>
      </c>
      <c r="H190" s="14"/>
      <c r="I190" s="13" t="s">
        <v>565</v>
      </c>
      <c r="J190" s="13" t="s">
        <v>566</v>
      </c>
      <c r="K190" s="13" t="s">
        <v>580</v>
      </c>
      <c r="L190" s="13" t="s">
        <v>568</v>
      </c>
      <c r="M190" s="111" t="s">
        <v>74</v>
      </c>
      <c r="N190" s="80"/>
    </row>
    <row r="191" spans="1:15" ht="99.75" customHeight="1">
      <c r="A191" s="54">
        <v>179</v>
      </c>
      <c r="B191" s="13" t="s">
        <v>449</v>
      </c>
      <c r="C191" s="164" t="s">
        <v>562</v>
      </c>
      <c r="D191" s="18"/>
      <c r="E191" s="13" t="s">
        <v>563</v>
      </c>
      <c r="F191" s="18"/>
      <c r="G191" s="13" t="s">
        <v>581</v>
      </c>
      <c r="H191" s="14"/>
      <c r="I191" s="13" t="s">
        <v>565</v>
      </c>
      <c r="J191" s="13" t="s">
        <v>566</v>
      </c>
      <c r="K191" s="13" t="s">
        <v>582</v>
      </c>
      <c r="L191" s="13" t="s">
        <v>568</v>
      </c>
      <c r="M191" s="111" t="s">
        <v>74</v>
      </c>
      <c r="N191" s="80"/>
    </row>
    <row r="192" spans="1:15" ht="99" customHeight="1">
      <c r="A192" s="54">
        <v>180</v>
      </c>
      <c r="B192" s="13" t="s">
        <v>449</v>
      </c>
      <c r="C192" s="164" t="s">
        <v>562</v>
      </c>
      <c r="D192" s="18"/>
      <c r="E192" s="13" t="s">
        <v>563</v>
      </c>
      <c r="F192" s="18"/>
      <c r="G192" s="13" t="s">
        <v>583</v>
      </c>
      <c r="H192" s="14"/>
      <c r="I192" s="13" t="s">
        <v>565</v>
      </c>
      <c r="J192" s="13" t="s">
        <v>566</v>
      </c>
      <c r="K192" s="13" t="s">
        <v>584</v>
      </c>
      <c r="L192" s="13" t="s">
        <v>568</v>
      </c>
      <c r="M192" s="111" t="s">
        <v>74</v>
      </c>
      <c r="N192" s="80"/>
    </row>
    <row r="193" spans="1:14" ht="99" customHeight="1">
      <c r="A193" s="54">
        <v>181</v>
      </c>
      <c r="B193" s="13" t="s">
        <v>449</v>
      </c>
      <c r="C193" s="164" t="s">
        <v>562</v>
      </c>
      <c r="D193" s="18"/>
      <c r="E193" s="13" t="s">
        <v>563</v>
      </c>
      <c r="F193" s="18"/>
      <c r="G193" s="13" t="s">
        <v>585</v>
      </c>
      <c r="H193" s="14"/>
      <c r="I193" s="13" t="s">
        <v>565</v>
      </c>
      <c r="J193" s="13" t="s">
        <v>566</v>
      </c>
      <c r="K193" s="13" t="s">
        <v>586</v>
      </c>
      <c r="L193" s="13" t="s">
        <v>568</v>
      </c>
      <c r="M193" s="111" t="s">
        <v>74</v>
      </c>
      <c r="N193" s="80"/>
    </row>
    <row r="194" spans="1:14" ht="86.25" customHeight="1">
      <c r="A194" s="54">
        <v>182</v>
      </c>
      <c r="B194" s="13" t="s">
        <v>449</v>
      </c>
      <c r="C194" s="164" t="s">
        <v>562</v>
      </c>
      <c r="D194" s="18"/>
      <c r="E194" s="13" t="s">
        <v>563</v>
      </c>
      <c r="F194" s="18"/>
      <c r="G194" s="13" t="s">
        <v>587</v>
      </c>
      <c r="H194" s="14"/>
      <c r="I194" s="13" t="s">
        <v>565</v>
      </c>
      <c r="J194" s="13" t="s">
        <v>566</v>
      </c>
      <c r="K194" s="13" t="s">
        <v>588</v>
      </c>
      <c r="L194" s="13" t="s">
        <v>568</v>
      </c>
      <c r="M194" s="111" t="s">
        <v>74</v>
      </c>
      <c r="N194" s="80"/>
    </row>
    <row r="195" spans="1:14" ht="95.25" customHeight="1">
      <c r="A195" s="54">
        <v>183</v>
      </c>
      <c r="B195" s="13" t="s">
        <v>449</v>
      </c>
      <c r="C195" s="164" t="s">
        <v>562</v>
      </c>
      <c r="D195" s="18"/>
      <c r="E195" s="13" t="s">
        <v>563</v>
      </c>
      <c r="F195" s="18"/>
      <c r="G195" s="13" t="s">
        <v>589</v>
      </c>
      <c r="H195" s="14"/>
      <c r="I195" s="13" t="s">
        <v>565</v>
      </c>
      <c r="J195" s="13" t="s">
        <v>566</v>
      </c>
      <c r="K195" s="13" t="s">
        <v>590</v>
      </c>
      <c r="L195" s="13" t="s">
        <v>568</v>
      </c>
      <c r="M195" s="111" t="s">
        <v>74</v>
      </c>
      <c r="N195" s="80"/>
    </row>
    <row r="196" spans="1:14" ht="97.5" customHeight="1">
      <c r="A196" s="54">
        <v>184</v>
      </c>
      <c r="B196" s="13" t="s">
        <v>449</v>
      </c>
      <c r="C196" s="164" t="s">
        <v>562</v>
      </c>
      <c r="D196" s="18"/>
      <c r="E196" s="13" t="s">
        <v>563</v>
      </c>
      <c r="F196" s="18"/>
      <c r="G196" s="13" t="s">
        <v>591</v>
      </c>
      <c r="H196" s="14"/>
      <c r="I196" s="13" t="s">
        <v>565</v>
      </c>
      <c r="J196" s="13" t="s">
        <v>566</v>
      </c>
      <c r="K196" s="13" t="s">
        <v>592</v>
      </c>
      <c r="L196" s="13" t="s">
        <v>568</v>
      </c>
      <c r="M196" s="111" t="s">
        <v>74</v>
      </c>
      <c r="N196" s="80"/>
    </row>
    <row r="197" spans="1:14" ht="82.5" customHeight="1">
      <c r="A197" s="54">
        <v>185</v>
      </c>
      <c r="B197" s="13" t="s">
        <v>449</v>
      </c>
      <c r="C197" s="164" t="s">
        <v>562</v>
      </c>
      <c r="D197" s="18"/>
      <c r="E197" s="13" t="s">
        <v>563</v>
      </c>
      <c r="F197" s="18"/>
      <c r="G197" s="13" t="s">
        <v>593</v>
      </c>
      <c r="H197" s="14"/>
      <c r="I197" s="13" t="s">
        <v>565</v>
      </c>
      <c r="J197" s="13" t="s">
        <v>566</v>
      </c>
      <c r="K197" s="13" t="s">
        <v>594</v>
      </c>
      <c r="L197" s="13" t="s">
        <v>568</v>
      </c>
      <c r="M197" s="111" t="s">
        <v>74</v>
      </c>
      <c r="N197" s="80"/>
    </row>
    <row r="198" spans="1:14" ht="96.75">
      <c r="A198" s="54">
        <v>186</v>
      </c>
      <c r="B198" s="13" t="s">
        <v>449</v>
      </c>
      <c r="C198" s="164" t="s">
        <v>562</v>
      </c>
      <c r="D198" s="18"/>
      <c r="E198" s="13" t="s">
        <v>563</v>
      </c>
      <c r="F198" s="18"/>
      <c r="G198" s="13" t="s">
        <v>595</v>
      </c>
      <c r="H198" s="14"/>
      <c r="I198" s="13" t="s">
        <v>565</v>
      </c>
      <c r="J198" s="13" t="s">
        <v>566</v>
      </c>
      <c r="K198" s="13" t="s">
        <v>596</v>
      </c>
      <c r="L198" s="13" t="s">
        <v>568</v>
      </c>
      <c r="M198" s="111" t="s">
        <v>74</v>
      </c>
      <c r="N198" s="80"/>
    </row>
    <row r="199" spans="1:14" ht="96.75">
      <c r="A199" s="54">
        <v>187</v>
      </c>
      <c r="B199" s="13" t="s">
        <v>449</v>
      </c>
      <c r="C199" s="164" t="s">
        <v>562</v>
      </c>
      <c r="D199" s="18"/>
      <c r="E199" s="13" t="s">
        <v>563</v>
      </c>
      <c r="F199" s="18"/>
      <c r="G199" s="13" t="s">
        <v>597</v>
      </c>
      <c r="H199" s="14"/>
      <c r="I199" s="13" t="s">
        <v>565</v>
      </c>
      <c r="J199" s="13" t="s">
        <v>566</v>
      </c>
      <c r="K199" s="13" t="s">
        <v>598</v>
      </c>
      <c r="L199" s="13" t="s">
        <v>568</v>
      </c>
      <c r="M199" s="111" t="s">
        <v>74</v>
      </c>
      <c r="N199" s="80"/>
    </row>
    <row r="200" spans="1:14" ht="96.75">
      <c r="A200" s="54">
        <v>188</v>
      </c>
      <c r="B200" s="13" t="s">
        <v>449</v>
      </c>
      <c r="C200" s="164" t="s">
        <v>562</v>
      </c>
      <c r="D200" s="18"/>
      <c r="E200" s="13" t="s">
        <v>563</v>
      </c>
      <c r="F200" s="18"/>
      <c r="G200" s="13" t="s">
        <v>599</v>
      </c>
      <c r="H200" s="14"/>
      <c r="I200" s="13" t="s">
        <v>565</v>
      </c>
      <c r="J200" s="13" t="s">
        <v>566</v>
      </c>
      <c r="K200" s="13" t="s">
        <v>600</v>
      </c>
      <c r="L200" s="13" t="s">
        <v>568</v>
      </c>
      <c r="M200" s="111" t="s">
        <v>74</v>
      </c>
      <c r="N200" s="80"/>
    </row>
    <row r="201" spans="1:14" ht="96.75">
      <c r="A201" s="54">
        <v>189</v>
      </c>
      <c r="B201" s="13" t="s">
        <v>449</v>
      </c>
      <c r="C201" s="164" t="s">
        <v>562</v>
      </c>
      <c r="D201" s="18"/>
      <c r="E201" s="13" t="s">
        <v>563</v>
      </c>
      <c r="F201" s="18"/>
      <c r="G201" s="13" t="s">
        <v>601</v>
      </c>
      <c r="H201" s="14"/>
      <c r="I201" s="13" t="s">
        <v>565</v>
      </c>
      <c r="J201" s="13" t="s">
        <v>566</v>
      </c>
      <c r="K201" s="13" t="s">
        <v>602</v>
      </c>
      <c r="L201" s="13" t="s">
        <v>568</v>
      </c>
      <c r="M201" s="111" t="s">
        <v>74</v>
      </c>
      <c r="N201" s="80"/>
    </row>
    <row r="202" spans="1:14" ht="96.75">
      <c r="A202" s="54">
        <v>190</v>
      </c>
      <c r="B202" s="13" t="s">
        <v>449</v>
      </c>
      <c r="C202" s="164" t="s">
        <v>562</v>
      </c>
      <c r="D202" s="18"/>
      <c r="E202" s="13" t="s">
        <v>563</v>
      </c>
      <c r="F202" s="18"/>
      <c r="G202" s="13" t="s">
        <v>603</v>
      </c>
      <c r="H202" s="14"/>
      <c r="I202" s="13" t="s">
        <v>565</v>
      </c>
      <c r="J202" s="13" t="s">
        <v>566</v>
      </c>
      <c r="K202" s="13" t="s">
        <v>604</v>
      </c>
      <c r="L202" s="13" t="s">
        <v>568</v>
      </c>
      <c r="M202" s="111" t="s">
        <v>74</v>
      </c>
      <c r="N202" s="80"/>
    </row>
    <row r="203" spans="1:14" ht="99.75" customHeight="1">
      <c r="A203" s="54">
        <v>191</v>
      </c>
      <c r="B203" s="13" t="s">
        <v>449</v>
      </c>
      <c r="C203" s="164" t="s">
        <v>562</v>
      </c>
      <c r="D203" s="18"/>
      <c r="E203" s="13" t="s">
        <v>563</v>
      </c>
      <c r="F203" s="18"/>
      <c r="G203" s="13" t="s">
        <v>605</v>
      </c>
      <c r="H203" s="14"/>
      <c r="I203" s="13" t="s">
        <v>565</v>
      </c>
      <c r="J203" s="13" t="s">
        <v>566</v>
      </c>
      <c r="K203" s="13" t="s">
        <v>606</v>
      </c>
      <c r="L203" s="13" t="s">
        <v>568</v>
      </c>
      <c r="M203" s="111" t="s">
        <v>74</v>
      </c>
      <c r="N203" s="80"/>
    </row>
    <row r="204" spans="1:14" ht="96.75">
      <c r="A204" s="54">
        <v>192</v>
      </c>
      <c r="B204" s="13" t="s">
        <v>449</v>
      </c>
      <c r="C204" s="164" t="s">
        <v>562</v>
      </c>
      <c r="D204" s="18"/>
      <c r="E204" s="13" t="s">
        <v>563</v>
      </c>
      <c r="F204" s="18"/>
      <c r="G204" s="13" t="s">
        <v>607</v>
      </c>
      <c r="H204" s="14"/>
      <c r="I204" s="13" t="s">
        <v>565</v>
      </c>
      <c r="J204" s="13" t="s">
        <v>566</v>
      </c>
      <c r="K204" s="13" t="s">
        <v>608</v>
      </c>
      <c r="L204" s="13" t="s">
        <v>568</v>
      </c>
      <c r="M204" s="111" t="s">
        <v>74</v>
      </c>
      <c r="N204" s="80"/>
    </row>
    <row r="205" spans="1:14" ht="96.75">
      <c r="A205" s="54">
        <v>193</v>
      </c>
      <c r="B205" s="13" t="s">
        <v>449</v>
      </c>
      <c r="C205" s="164" t="s">
        <v>562</v>
      </c>
      <c r="D205" s="18"/>
      <c r="E205" s="13" t="s">
        <v>563</v>
      </c>
      <c r="F205" s="18"/>
      <c r="G205" s="13" t="s">
        <v>609</v>
      </c>
      <c r="H205" s="14"/>
      <c r="I205" s="13" t="s">
        <v>565</v>
      </c>
      <c r="J205" s="13" t="s">
        <v>566</v>
      </c>
      <c r="K205" s="13" t="s">
        <v>610</v>
      </c>
      <c r="L205" s="13" t="s">
        <v>568</v>
      </c>
      <c r="M205" s="111" t="s">
        <v>74</v>
      </c>
      <c r="N205" s="80"/>
    </row>
    <row r="206" spans="1:14" ht="96.75">
      <c r="A206" s="54">
        <v>194</v>
      </c>
      <c r="B206" s="13" t="s">
        <v>449</v>
      </c>
      <c r="C206" s="164" t="s">
        <v>562</v>
      </c>
      <c r="D206" s="18"/>
      <c r="E206" s="13" t="s">
        <v>563</v>
      </c>
      <c r="F206" s="18"/>
      <c r="G206" s="13" t="s">
        <v>611</v>
      </c>
      <c r="H206" s="14"/>
      <c r="I206" s="13" t="s">
        <v>565</v>
      </c>
      <c r="J206" s="13" t="s">
        <v>566</v>
      </c>
      <c r="K206" s="13" t="s">
        <v>596</v>
      </c>
      <c r="L206" s="13" t="s">
        <v>568</v>
      </c>
      <c r="M206" s="111" t="s">
        <v>74</v>
      </c>
      <c r="N206" s="80"/>
    </row>
    <row r="207" spans="1:14" ht="96.75">
      <c r="A207" s="54">
        <v>195</v>
      </c>
      <c r="B207" s="13" t="s">
        <v>449</v>
      </c>
      <c r="C207" s="164" t="s">
        <v>562</v>
      </c>
      <c r="D207" s="18"/>
      <c r="E207" s="13" t="s">
        <v>563</v>
      </c>
      <c r="F207" s="18"/>
      <c r="G207" s="13" t="s">
        <v>612</v>
      </c>
      <c r="H207" s="14"/>
      <c r="I207" s="13" t="s">
        <v>565</v>
      </c>
      <c r="J207" s="13" t="s">
        <v>566</v>
      </c>
      <c r="K207" s="13" t="s">
        <v>596</v>
      </c>
      <c r="L207" s="13" t="s">
        <v>568</v>
      </c>
      <c r="M207" s="111" t="s">
        <v>74</v>
      </c>
      <c r="N207" s="80"/>
    </row>
    <row r="208" spans="1:14" ht="96.75">
      <c r="A208" s="54">
        <v>196</v>
      </c>
      <c r="B208" s="13" t="s">
        <v>449</v>
      </c>
      <c r="C208" s="164" t="s">
        <v>562</v>
      </c>
      <c r="D208" s="18"/>
      <c r="E208" s="13" t="s">
        <v>563</v>
      </c>
      <c r="F208" s="18"/>
      <c r="G208" s="13" t="s">
        <v>613</v>
      </c>
      <c r="H208" s="14"/>
      <c r="I208" s="13" t="s">
        <v>565</v>
      </c>
      <c r="J208" s="13" t="s">
        <v>566</v>
      </c>
      <c r="K208" s="13" t="s">
        <v>596</v>
      </c>
      <c r="L208" s="13" t="s">
        <v>568</v>
      </c>
      <c r="M208" s="111" t="s">
        <v>74</v>
      </c>
      <c r="N208" s="80"/>
    </row>
    <row r="209" spans="1:14" ht="96.75">
      <c r="A209" s="54">
        <v>197</v>
      </c>
      <c r="B209" s="13" t="s">
        <v>449</v>
      </c>
      <c r="C209" s="164" t="s">
        <v>562</v>
      </c>
      <c r="D209" s="18"/>
      <c r="E209" s="13" t="s">
        <v>563</v>
      </c>
      <c r="F209" s="18"/>
      <c r="G209" s="13" t="s">
        <v>614</v>
      </c>
      <c r="H209" s="14"/>
      <c r="I209" s="13" t="s">
        <v>565</v>
      </c>
      <c r="J209" s="13" t="s">
        <v>566</v>
      </c>
      <c r="K209" s="13" t="s">
        <v>596</v>
      </c>
      <c r="L209" s="13" t="s">
        <v>568</v>
      </c>
      <c r="M209" s="111" t="s">
        <v>74</v>
      </c>
      <c r="N209" s="80"/>
    </row>
    <row r="210" spans="1:14" ht="96.75">
      <c r="A210" s="54">
        <v>198</v>
      </c>
      <c r="B210" s="13" t="s">
        <v>449</v>
      </c>
      <c r="C210" s="164" t="s">
        <v>562</v>
      </c>
      <c r="D210" s="18"/>
      <c r="E210" s="13" t="s">
        <v>563</v>
      </c>
      <c r="F210" s="18"/>
      <c r="G210" s="13" t="s">
        <v>615</v>
      </c>
      <c r="H210" s="14"/>
      <c r="I210" s="13" t="s">
        <v>565</v>
      </c>
      <c r="J210" s="13" t="s">
        <v>566</v>
      </c>
      <c r="K210" s="13" t="s">
        <v>596</v>
      </c>
      <c r="L210" s="13" t="s">
        <v>568</v>
      </c>
      <c r="M210" s="111" t="s">
        <v>74</v>
      </c>
      <c r="N210" s="80"/>
    </row>
    <row r="211" spans="1:14" ht="96.75">
      <c r="A211" s="54">
        <v>199</v>
      </c>
      <c r="B211" s="13" t="s">
        <v>449</v>
      </c>
      <c r="C211" s="164" t="s">
        <v>562</v>
      </c>
      <c r="D211" s="18"/>
      <c r="E211" s="13" t="s">
        <v>563</v>
      </c>
      <c r="F211" s="18"/>
      <c r="G211" s="13" t="s">
        <v>616</v>
      </c>
      <c r="H211" s="14"/>
      <c r="I211" s="13" t="s">
        <v>565</v>
      </c>
      <c r="J211" s="13" t="s">
        <v>566</v>
      </c>
      <c r="K211" s="13" t="s">
        <v>596</v>
      </c>
      <c r="L211" s="13" t="s">
        <v>568</v>
      </c>
      <c r="M211" s="111" t="s">
        <v>74</v>
      </c>
      <c r="N211" s="80"/>
    </row>
    <row r="212" spans="1:14" ht="96.75">
      <c r="A212" s="54">
        <v>200</v>
      </c>
      <c r="B212" s="13" t="s">
        <v>449</v>
      </c>
      <c r="C212" s="164" t="s">
        <v>562</v>
      </c>
      <c r="D212" s="18"/>
      <c r="E212" s="13" t="s">
        <v>563</v>
      </c>
      <c r="F212" s="18"/>
      <c r="G212" s="13" t="s">
        <v>617</v>
      </c>
      <c r="H212" s="14"/>
      <c r="I212" s="13" t="s">
        <v>565</v>
      </c>
      <c r="J212" s="13" t="s">
        <v>566</v>
      </c>
      <c r="K212" s="13" t="s">
        <v>596</v>
      </c>
      <c r="L212" s="13" t="s">
        <v>568</v>
      </c>
      <c r="M212" s="111" t="s">
        <v>74</v>
      </c>
      <c r="N212" s="80"/>
    </row>
    <row r="213" spans="1:14" ht="96.75">
      <c r="A213" s="54">
        <v>201</v>
      </c>
      <c r="B213" s="13" t="s">
        <v>449</v>
      </c>
      <c r="C213" s="164" t="s">
        <v>562</v>
      </c>
      <c r="D213" s="18"/>
      <c r="E213" s="13" t="s">
        <v>563</v>
      </c>
      <c r="F213" s="18"/>
      <c r="G213" s="13" t="s">
        <v>618</v>
      </c>
      <c r="H213" s="14"/>
      <c r="I213" s="13" t="s">
        <v>565</v>
      </c>
      <c r="J213" s="13" t="s">
        <v>566</v>
      </c>
      <c r="K213" s="13" t="s">
        <v>596</v>
      </c>
      <c r="L213" s="13" t="s">
        <v>568</v>
      </c>
      <c r="M213" s="111" t="s">
        <v>74</v>
      </c>
      <c r="N213" s="80"/>
    </row>
    <row r="214" spans="1:14" ht="96.75">
      <c r="A214" s="54">
        <v>202</v>
      </c>
      <c r="B214" s="13" t="s">
        <v>449</v>
      </c>
      <c r="C214" s="164" t="s">
        <v>562</v>
      </c>
      <c r="D214" s="18"/>
      <c r="E214" s="13" t="s">
        <v>563</v>
      </c>
      <c r="F214" s="18"/>
      <c r="G214" s="13" t="s">
        <v>619</v>
      </c>
      <c r="H214" s="14"/>
      <c r="I214" s="13" t="s">
        <v>565</v>
      </c>
      <c r="J214" s="13" t="s">
        <v>566</v>
      </c>
      <c r="K214" s="13" t="s">
        <v>567</v>
      </c>
      <c r="L214" s="13" t="s">
        <v>568</v>
      </c>
      <c r="M214" s="111" t="s">
        <v>74</v>
      </c>
      <c r="N214" s="80"/>
    </row>
    <row r="215" spans="1:14" ht="96.75">
      <c r="A215" s="54">
        <v>203</v>
      </c>
      <c r="B215" s="13" t="s">
        <v>449</v>
      </c>
      <c r="C215" s="164" t="s">
        <v>562</v>
      </c>
      <c r="D215" s="18"/>
      <c r="E215" s="13" t="s">
        <v>563</v>
      </c>
      <c r="F215" s="18"/>
      <c r="G215" s="13" t="s">
        <v>620</v>
      </c>
      <c r="H215" s="14"/>
      <c r="I215" s="13" t="s">
        <v>565</v>
      </c>
      <c r="J215" s="13" t="s">
        <v>566</v>
      </c>
      <c r="K215" s="13" t="s">
        <v>567</v>
      </c>
      <c r="L215" s="13" t="s">
        <v>568</v>
      </c>
      <c r="M215" s="111" t="s">
        <v>74</v>
      </c>
      <c r="N215" s="80"/>
    </row>
    <row r="216" spans="1:14" ht="96.75">
      <c r="A216" s="54">
        <v>204</v>
      </c>
      <c r="B216" s="13" t="s">
        <v>449</v>
      </c>
      <c r="C216" s="164" t="s">
        <v>562</v>
      </c>
      <c r="D216" s="18"/>
      <c r="E216" s="13" t="s">
        <v>563</v>
      </c>
      <c r="F216" s="18"/>
      <c r="G216" s="13" t="s">
        <v>621</v>
      </c>
      <c r="H216" s="14"/>
      <c r="I216" s="13" t="s">
        <v>565</v>
      </c>
      <c r="J216" s="13" t="s">
        <v>566</v>
      </c>
      <c r="K216" s="13" t="s">
        <v>622</v>
      </c>
      <c r="L216" s="13" t="s">
        <v>568</v>
      </c>
      <c r="M216" s="111" t="s">
        <v>74</v>
      </c>
      <c r="N216" s="80"/>
    </row>
    <row r="217" spans="1:14" ht="96.75">
      <c r="A217" s="54">
        <v>205</v>
      </c>
      <c r="B217" s="13" t="s">
        <v>449</v>
      </c>
      <c r="C217" s="164" t="s">
        <v>562</v>
      </c>
      <c r="D217" s="18"/>
      <c r="E217" s="13" t="s">
        <v>563</v>
      </c>
      <c r="F217" s="18"/>
      <c r="G217" s="13" t="s">
        <v>623</v>
      </c>
      <c r="H217" s="14"/>
      <c r="I217" s="13" t="s">
        <v>565</v>
      </c>
      <c r="J217" s="13" t="s">
        <v>566</v>
      </c>
      <c r="K217" s="13" t="s">
        <v>624</v>
      </c>
      <c r="L217" s="13" t="s">
        <v>568</v>
      </c>
      <c r="M217" s="111" t="s">
        <v>74</v>
      </c>
      <c r="N217" s="80"/>
    </row>
    <row r="218" spans="1:14" ht="96.75">
      <c r="A218" s="54">
        <v>206</v>
      </c>
      <c r="B218" s="13" t="s">
        <v>449</v>
      </c>
      <c r="C218" s="164" t="s">
        <v>562</v>
      </c>
      <c r="D218" s="18"/>
      <c r="E218" s="13" t="s">
        <v>563</v>
      </c>
      <c r="F218" s="18"/>
      <c r="G218" s="13" t="s">
        <v>625</v>
      </c>
      <c r="H218" s="14"/>
      <c r="I218" s="13" t="s">
        <v>565</v>
      </c>
      <c r="J218" s="13" t="s">
        <v>566</v>
      </c>
      <c r="K218" s="13" t="s">
        <v>626</v>
      </c>
      <c r="L218" s="13" t="s">
        <v>568</v>
      </c>
      <c r="M218" s="111" t="s">
        <v>74</v>
      </c>
      <c r="N218" s="80"/>
    </row>
    <row r="219" spans="1:14" ht="96.75">
      <c r="A219" s="54">
        <v>207</v>
      </c>
      <c r="B219" s="13" t="s">
        <v>449</v>
      </c>
      <c r="C219" s="164" t="s">
        <v>562</v>
      </c>
      <c r="D219" s="18"/>
      <c r="E219" s="13" t="s">
        <v>563</v>
      </c>
      <c r="F219" s="18"/>
      <c r="G219" s="13" t="s">
        <v>627</v>
      </c>
      <c r="H219" s="14"/>
      <c r="I219" s="13" t="s">
        <v>565</v>
      </c>
      <c r="J219" s="13" t="s">
        <v>566</v>
      </c>
      <c r="K219" s="13" t="s">
        <v>628</v>
      </c>
      <c r="L219" s="13" t="s">
        <v>568</v>
      </c>
      <c r="M219" s="111" t="s">
        <v>74</v>
      </c>
      <c r="N219" s="80"/>
    </row>
    <row r="220" spans="1:14" ht="96.75">
      <c r="A220" s="54">
        <v>208</v>
      </c>
      <c r="B220" s="13" t="s">
        <v>449</v>
      </c>
      <c r="C220" s="164" t="s">
        <v>562</v>
      </c>
      <c r="D220" s="18"/>
      <c r="E220" s="13" t="s">
        <v>629</v>
      </c>
      <c r="F220" s="18"/>
      <c r="G220" s="13" t="s">
        <v>630</v>
      </c>
      <c r="H220" s="14"/>
      <c r="I220" s="13" t="s">
        <v>631</v>
      </c>
      <c r="J220" s="13" t="s">
        <v>554</v>
      </c>
      <c r="K220" s="13" t="s">
        <v>632</v>
      </c>
      <c r="L220" s="13" t="s">
        <v>568</v>
      </c>
      <c r="M220" s="111" t="s">
        <v>74</v>
      </c>
      <c r="N220" s="80"/>
    </row>
    <row r="221" spans="1:14" ht="96.75">
      <c r="A221" s="54">
        <v>209</v>
      </c>
      <c r="B221" s="13" t="s">
        <v>449</v>
      </c>
      <c r="C221" s="164" t="s">
        <v>562</v>
      </c>
      <c r="D221" s="18"/>
      <c r="E221" s="13" t="s">
        <v>629</v>
      </c>
      <c r="F221" s="18"/>
      <c r="G221" s="13"/>
      <c r="H221" s="14"/>
      <c r="I221" s="14"/>
      <c r="J221" s="18"/>
      <c r="K221" s="13" t="s">
        <v>633</v>
      </c>
      <c r="L221" s="13" t="s">
        <v>568</v>
      </c>
      <c r="M221" s="111" t="s">
        <v>74</v>
      </c>
      <c r="N221" s="80"/>
    </row>
    <row r="222" spans="1:14" ht="96.75">
      <c r="A222" s="54">
        <v>210</v>
      </c>
      <c r="B222" s="13" t="s">
        <v>449</v>
      </c>
      <c r="C222" s="164" t="s">
        <v>562</v>
      </c>
      <c r="D222" s="18"/>
      <c r="E222" s="13" t="s">
        <v>629</v>
      </c>
      <c r="F222" s="18"/>
      <c r="G222" s="13"/>
      <c r="H222" s="14"/>
      <c r="I222" s="14"/>
      <c r="J222" s="18"/>
      <c r="K222" s="13" t="s">
        <v>634</v>
      </c>
      <c r="L222" s="13" t="s">
        <v>568</v>
      </c>
      <c r="M222" s="111" t="s">
        <v>74</v>
      </c>
      <c r="N222" s="80"/>
    </row>
    <row r="223" spans="1:14" ht="96.75">
      <c r="A223" s="54">
        <v>211</v>
      </c>
      <c r="B223" s="13" t="s">
        <v>449</v>
      </c>
      <c r="C223" s="164" t="s">
        <v>562</v>
      </c>
      <c r="D223" s="18"/>
      <c r="E223" s="13" t="s">
        <v>629</v>
      </c>
      <c r="F223" s="18"/>
      <c r="G223" s="13"/>
      <c r="H223" s="14"/>
      <c r="I223" s="14"/>
      <c r="J223" s="18"/>
      <c r="K223" s="13" t="s">
        <v>635</v>
      </c>
      <c r="L223" s="13" t="s">
        <v>568</v>
      </c>
      <c r="M223" s="111" t="s">
        <v>74</v>
      </c>
      <c r="N223" s="80"/>
    </row>
    <row r="224" spans="1:14" ht="96.75">
      <c r="A224" s="54">
        <v>212</v>
      </c>
      <c r="B224" s="13" t="s">
        <v>449</v>
      </c>
      <c r="C224" s="164" t="s">
        <v>562</v>
      </c>
      <c r="D224" s="18"/>
      <c r="E224" s="13" t="s">
        <v>629</v>
      </c>
      <c r="F224" s="18"/>
      <c r="G224" s="13"/>
      <c r="H224" s="14"/>
      <c r="I224" s="14"/>
      <c r="J224" s="18"/>
      <c r="K224" s="13" t="s">
        <v>636</v>
      </c>
      <c r="L224" s="13" t="s">
        <v>568</v>
      </c>
      <c r="M224" s="111" t="s">
        <v>74</v>
      </c>
      <c r="N224" s="80"/>
    </row>
    <row r="225" spans="1:14" ht="96.75">
      <c r="A225" s="54">
        <v>213</v>
      </c>
      <c r="B225" s="13" t="s">
        <v>449</v>
      </c>
      <c r="C225" s="164" t="s">
        <v>562</v>
      </c>
      <c r="D225" s="18"/>
      <c r="E225" s="13" t="s">
        <v>629</v>
      </c>
      <c r="F225" s="18"/>
      <c r="G225" s="13"/>
      <c r="H225" s="14"/>
      <c r="I225" s="14"/>
      <c r="J225" s="18"/>
      <c r="K225" s="13" t="s">
        <v>637</v>
      </c>
      <c r="L225" s="13" t="s">
        <v>568</v>
      </c>
      <c r="M225" s="111" t="s">
        <v>74</v>
      </c>
      <c r="N225" s="80"/>
    </row>
    <row r="226" spans="1:14" ht="96.75">
      <c r="A226" s="54">
        <v>214</v>
      </c>
      <c r="B226" s="13" t="s">
        <v>449</v>
      </c>
      <c r="C226" s="164" t="s">
        <v>562</v>
      </c>
      <c r="D226" s="18"/>
      <c r="E226" s="13" t="s">
        <v>629</v>
      </c>
      <c r="F226" s="18"/>
      <c r="G226" s="13"/>
      <c r="H226" s="14"/>
      <c r="I226" s="14"/>
      <c r="J226" s="18"/>
      <c r="K226" s="13" t="s">
        <v>638</v>
      </c>
      <c r="L226" s="13" t="s">
        <v>568</v>
      </c>
      <c r="M226" s="111" t="s">
        <v>74</v>
      </c>
      <c r="N226" s="80"/>
    </row>
    <row r="227" spans="1:14" ht="96.75">
      <c r="A227" s="54">
        <v>215</v>
      </c>
      <c r="B227" s="13" t="s">
        <v>449</v>
      </c>
      <c r="C227" s="164" t="s">
        <v>562</v>
      </c>
      <c r="D227" s="18"/>
      <c r="E227" s="13" t="s">
        <v>629</v>
      </c>
      <c r="F227" s="18"/>
      <c r="G227" s="13"/>
      <c r="H227" s="14"/>
      <c r="I227" s="14"/>
      <c r="J227" s="18"/>
      <c r="K227" s="13" t="s">
        <v>639</v>
      </c>
      <c r="L227" s="13" t="s">
        <v>568</v>
      </c>
      <c r="M227" s="111" t="s">
        <v>74</v>
      </c>
      <c r="N227" s="80"/>
    </row>
    <row r="228" spans="1:14" ht="96.75">
      <c r="A228" s="54">
        <v>216</v>
      </c>
      <c r="B228" s="13" t="s">
        <v>449</v>
      </c>
      <c r="C228" s="164" t="s">
        <v>562</v>
      </c>
      <c r="D228" s="18"/>
      <c r="E228" s="13" t="s">
        <v>629</v>
      </c>
      <c r="F228" s="18"/>
      <c r="G228" s="13"/>
      <c r="H228" s="14"/>
      <c r="I228" s="14"/>
      <c r="J228" s="18"/>
      <c r="K228" s="13" t="s">
        <v>640</v>
      </c>
      <c r="L228" s="13" t="s">
        <v>568</v>
      </c>
      <c r="M228" s="111" t="s">
        <v>74</v>
      </c>
      <c r="N228" s="80"/>
    </row>
    <row r="229" spans="1:14" ht="96.75">
      <c r="A229" s="54">
        <v>217</v>
      </c>
      <c r="B229" s="13" t="s">
        <v>449</v>
      </c>
      <c r="C229" s="164" t="s">
        <v>562</v>
      </c>
      <c r="D229" s="18"/>
      <c r="E229" s="13" t="s">
        <v>629</v>
      </c>
      <c r="F229" s="18"/>
      <c r="G229" s="13"/>
      <c r="H229" s="14"/>
      <c r="I229" s="14"/>
      <c r="J229" s="18"/>
      <c r="K229" s="13" t="s">
        <v>641</v>
      </c>
      <c r="L229" s="13" t="s">
        <v>568</v>
      </c>
      <c r="M229" s="111" t="s">
        <v>74</v>
      </c>
      <c r="N229" s="80"/>
    </row>
    <row r="230" spans="1:14" ht="96.75">
      <c r="A230" s="54">
        <v>218</v>
      </c>
      <c r="B230" s="13" t="s">
        <v>449</v>
      </c>
      <c r="C230" s="164" t="s">
        <v>562</v>
      </c>
      <c r="D230" s="18"/>
      <c r="E230" s="13" t="s">
        <v>629</v>
      </c>
      <c r="F230" s="18"/>
      <c r="G230" s="13"/>
      <c r="H230" s="14"/>
      <c r="I230" s="14"/>
      <c r="J230" s="18"/>
      <c r="K230" s="13" t="s">
        <v>642</v>
      </c>
      <c r="L230" s="13" t="s">
        <v>568</v>
      </c>
      <c r="M230" s="111" t="s">
        <v>74</v>
      </c>
      <c r="N230" s="80"/>
    </row>
    <row r="231" spans="1:14" ht="96.75">
      <c r="A231" s="54">
        <v>219</v>
      </c>
      <c r="B231" s="13" t="s">
        <v>449</v>
      </c>
      <c r="C231" s="164" t="s">
        <v>562</v>
      </c>
      <c r="D231" s="18"/>
      <c r="E231" s="13" t="s">
        <v>629</v>
      </c>
      <c r="F231" s="18"/>
      <c r="G231" s="13"/>
      <c r="H231" s="14"/>
      <c r="I231" s="14"/>
      <c r="J231" s="18"/>
      <c r="K231" s="13" t="s">
        <v>643</v>
      </c>
      <c r="L231" s="13" t="s">
        <v>568</v>
      </c>
      <c r="M231" s="111" t="s">
        <v>74</v>
      </c>
      <c r="N231" s="80"/>
    </row>
    <row r="232" spans="1:14" ht="96.75">
      <c r="A232" s="54">
        <v>220</v>
      </c>
      <c r="B232" s="13" t="s">
        <v>449</v>
      </c>
      <c r="C232" s="164" t="s">
        <v>562</v>
      </c>
      <c r="D232" s="18"/>
      <c r="E232" s="13" t="s">
        <v>629</v>
      </c>
      <c r="F232" s="18"/>
      <c r="G232" s="13"/>
      <c r="H232" s="14"/>
      <c r="I232" s="14"/>
      <c r="J232" s="18"/>
      <c r="K232" s="13" t="s">
        <v>644</v>
      </c>
      <c r="L232" s="13" t="s">
        <v>568</v>
      </c>
      <c r="M232" s="111" t="s">
        <v>74</v>
      </c>
      <c r="N232" s="80"/>
    </row>
    <row r="233" spans="1:14" ht="96.75">
      <c r="A233" s="54">
        <v>221</v>
      </c>
      <c r="B233" s="13" t="s">
        <v>449</v>
      </c>
      <c r="C233" s="164" t="s">
        <v>562</v>
      </c>
      <c r="D233" s="18"/>
      <c r="E233" s="13" t="s">
        <v>629</v>
      </c>
      <c r="F233" s="18"/>
      <c r="G233" s="13"/>
      <c r="H233" s="14"/>
      <c r="I233" s="14"/>
      <c r="J233" s="18"/>
      <c r="K233" s="13" t="s">
        <v>645</v>
      </c>
      <c r="L233" s="13" t="s">
        <v>568</v>
      </c>
      <c r="M233" s="111" t="s">
        <v>74</v>
      </c>
      <c r="N233" s="80"/>
    </row>
    <row r="234" spans="1:14" ht="96.75">
      <c r="A234" s="54">
        <v>222</v>
      </c>
      <c r="B234" s="13" t="s">
        <v>449</v>
      </c>
      <c r="C234" s="164" t="s">
        <v>562</v>
      </c>
      <c r="D234" s="18"/>
      <c r="E234" s="13" t="s">
        <v>629</v>
      </c>
      <c r="F234" s="18"/>
      <c r="G234" s="13"/>
      <c r="H234" s="14"/>
      <c r="I234" s="14"/>
      <c r="J234" s="18"/>
      <c r="K234" s="13" t="s">
        <v>646</v>
      </c>
      <c r="L234" s="13" t="s">
        <v>568</v>
      </c>
      <c r="M234" s="111" t="s">
        <v>74</v>
      </c>
      <c r="N234" s="80"/>
    </row>
    <row r="235" spans="1:14" ht="96.75">
      <c r="A235" s="54">
        <v>223</v>
      </c>
      <c r="B235" s="13" t="s">
        <v>449</v>
      </c>
      <c r="C235" s="164" t="s">
        <v>562</v>
      </c>
      <c r="D235" s="18"/>
      <c r="E235" s="13" t="s">
        <v>629</v>
      </c>
      <c r="F235" s="18"/>
      <c r="G235" s="13"/>
      <c r="H235" s="14"/>
      <c r="I235" s="14"/>
      <c r="J235" s="18"/>
      <c r="K235" s="13" t="s">
        <v>647</v>
      </c>
      <c r="L235" s="13" t="s">
        <v>568</v>
      </c>
      <c r="M235" s="111" t="s">
        <v>74</v>
      </c>
      <c r="N235" s="80"/>
    </row>
    <row r="236" spans="1:14" ht="96.75">
      <c r="A236" s="54">
        <v>224</v>
      </c>
      <c r="B236" s="13" t="s">
        <v>449</v>
      </c>
      <c r="C236" s="164" t="s">
        <v>562</v>
      </c>
      <c r="D236" s="18"/>
      <c r="E236" s="13" t="s">
        <v>629</v>
      </c>
      <c r="F236" s="18"/>
      <c r="G236" s="13"/>
      <c r="H236" s="14"/>
      <c r="I236" s="14"/>
      <c r="J236" s="18"/>
      <c r="K236" s="13" t="s">
        <v>648</v>
      </c>
      <c r="L236" s="13" t="s">
        <v>568</v>
      </c>
      <c r="M236" s="111" t="s">
        <v>74</v>
      </c>
      <c r="N236" s="80"/>
    </row>
    <row r="237" spans="1:14" ht="96.75">
      <c r="A237" s="54">
        <v>225</v>
      </c>
      <c r="B237" s="13" t="s">
        <v>449</v>
      </c>
      <c r="C237" s="164" t="s">
        <v>562</v>
      </c>
      <c r="D237" s="18"/>
      <c r="E237" s="13" t="s">
        <v>629</v>
      </c>
      <c r="F237" s="18"/>
      <c r="G237" s="13"/>
      <c r="H237" s="14"/>
      <c r="I237" s="14"/>
      <c r="J237" s="18"/>
      <c r="K237" s="13" t="s">
        <v>649</v>
      </c>
      <c r="L237" s="13" t="s">
        <v>568</v>
      </c>
      <c r="M237" s="111" t="s">
        <v>74</v>
      </c>
      <c r="N237" s="80"/>
    </row>
    <row r="238" spans="1:14" ht="96.75">
      <c r="A238" s="54">
        <v>226</v>
      </c>
      <c r="B238" s="13" t="s">
        <v>449</v>
      </c>
      <c r="C238" s="164" t="s">
        <v>562</v>
      </c>
      <c r="D238" s="18"/>
      <c r="E238" s="13" t="s">
        <v>629</v>
      </c>
      <c r="F238" s="18"/>
      <c r="G238" s="13"/>
      <c r="H238" s="14"/>
      <c r="I238" s="14"/>
      <c r="J238" s="18"/>
      <c r="K238" s="13" t="s">
        <v>650</v>
      </c>
      <c r="L238" s="13" t="s">
        <v>568</v>
      </c>
      <c r="M238" s="111" t="s">
        <v>74</v>
      </c>
      <c r="N238" s="80"/>
    </row>
    <row r="239" spans="1:14" ht="96.75">
      <c r="A239" s="54">
        <v>227</v>
      </c>
      <c r="B239" s="13" t="s">
        <v>449</v>
      </c>
      <c r="C239" s="164" t="s">
        <v>562</v>
      </c>
      <c r="D239" s="18"/>
      <c r="E239" s="13" t="s">
        <v>629</v>
      </c>
      <c r="F239" s="18"/>
      <c r="G239" s="13"/>
      <c r="H239" s="14"/>
      <c r="I239" s="14"/>
      <c r="J239" s="18"/>
      <c r="K239" s="13" t="s">
        <v>651</v>
      </c>
      <c r="L239" s="13" t="s">
        <v>568</v>
      </c>
      <c r="M239" s="111" t="s">
        <v>74</v>
      </c>
      <c r="N239" s="80"/>
    </row>
    <row r="240" spans="1:14" ht="96.75">
      <c r="A240" s="54">
        <v>228</v>
      </c>
      <c r="B240" s="13" t="s">
        <v>449</v>
      </c>
      <c r="C240" s="164" t="s">
        <v>562</v>
      </c>
      <c r="D240" s="18"/>
      <c r="E240" s="13" t="s">
        <v>629</v>
      </c>
      <c r="F240" s="18"/>
      <c r="G240" s="13"/>
      <c r="H240" s="14"/>
      <c r="I240" s="14"/>
      <c r="J240" s="18"/>
      <c r="K240" s="13" t="s">
        <v>652</v>
      </c>
      <c r="L240" s="13" t="s">
        <v>568</v>
      </c>
      <c r="M240" s="111" t="s">
        <v>74</v>
      </c>
      <c r="N240" s="80"/>
    </row>
    <row r="241" spans="1:14" ht="96.75">
      <c r="A241" s="54">
        <v>229</v>
      </c>
      <c r="B241" s="13" t="s">
        <v>449</v>
      </c>
      <c r="C241" s="164" t="s">
        <v>562</v>
      </c>
      <c r="D241" s="18"/>
      <c r="E241" s="13" t="s">
        <v>629</v>
      </c>
      <c r="F241" s="18"/>
      <c r="G241" s="13"/>
      <c r="H241" s="14"/>
      <c r="I241" s="14"/>
      <c r="J241" s="18"/>
      <c r="K241" s="13" t="s">
        <v>653</v>
      </c>
      <c r="L241" s="13" t="s">
        <v>568</v>
      </c>
      <c r="M241" s="111" t="s">
        <v>74</v>
      </c>
      <c r="N241" s="80"/>
    </row>
    <row r="242" spans="1:14" ht="96.75">
      <c r="A242" s="54">
        <v>230</v>
      </c>
      <c r="B242" s="13" t="s">
        <v>449</v>
      </c>
      <c r="C242" s="164" t="s">
        <v>562</v>
      </c>
      <c r="D242" s="18"/>
      <c r="E242" s="13" t="s">
        <v>629</v>
      </c>
      <c r="F242" s="18"/>
      <c r="G242" s="13"/>
      <c r="H242" s="14"/>
      <c r="I242" s="14"/>
      <c r="J242" s="18"/>
      <c r="K242" s="13" t="s">
        <v>654</v>
      </c>
      <c r="L242" s="13" t="s">
        <v>568</v>
      </c>
      <c r="M242" s="111" t="s">
        <v>74</v>
      </c>
      <c r="N242" s="80"/>
    </row>
    <row r="243" spans="1:14" ht="96.75">
      <c r="A243" s="54">
        <v>231</v>
      </c>
      <c r="B243" s="13" t="s">
        <v>449</v>
      </c>
      <c r="C243" s="164" t="s">
        <v>562</v>
      </c>
      <c r="D243" s="18"/>
      <c r="E243" s="13" t="s">
        <v>629</v>
      </c>
      <c r="F243" s="18"/>
      <c r="G243" s="13"/>
      <c r="H243" s="14"/>
      <c r="I243" s="14"/>
      <c r="J243" s="18"/>
      <c r="K243" s="13" t="s">
        <v>655</v>
      </c>
      <c r="L243" s="13" t="s">
        <v>568</v>
      </c>
      <c r="M243" s="111" t="s">
        <v>74</v>
      </c>
      <c r="N243" s="80"/>
    </row>
    <row r="244" spans="1:14" ht="96.75">
      <c r="A244" s="54">
        <v>232</v>
      </c>
      <c r="B244" s="13" t="s">
        <v>449</v>
      </c>
      <c r="C244" s="164" t="s">
        <v>562</v>
      </c>
      <c r="D244" s="18"/>
      <c r="E244" s="13" t="s">
        <v>629</v>
      </c>
      <c r="F244" s="18"/>
      <c r="G244" s="13"/>
      <c r="H244" s="14"/>
      <c r="I244" s="14"/>
      <c r="J244" s="18"/>
      <c r="K244" s="13" t="s">
        <v>656</v>
      </c>
      <c r="L244" s="13" t="s">
        <v>568</v>
      </c>
      <c r="M244" s="111" t="s">
        <v>74</v>
      </c>
      <c r="N244" s="80"/>
    </row>
    <row r="245" spans="1:14" ht="32.25">
      <c r="A245" s="54">
        <v>233</v>
      </c>
      <c r="B245" s="13" t="s">
        <v>449</v>
      </c>
      <c r="C245" s="164" t="s">
        <v>657</v>
      </c>
      <c r="D245" s="18"/>
      <c r="E245" s="14" t="s">
        <v>658</v>
      </c>
      <c r="F245" s="18"/>
      <c r="G245" s="13" t="s">
        <v>659</v>
      </c>
      <c r="H245" s="14"/>
      <c r="I245" s="14" t="s">
        <v>464</v>
      </c>
      <c r="J245" s="184" t="s">
        <v>454</v>
      </c>
      <c r="K245" s="14" t="s">
        <v>660</v>
      </c>
      <c r="L245" s="185" t="s">
        <v>661</v>
      </c>
      <c r="M245" s="111" t="s">
        <v>74</v>
      </c>
      <c r="N245" s="80"/>
    </row>
    <row r="246" spans="1:14" ht="48.75">
      <c r="A246" s="54">
        <v>234</v>
      </c>
      <c r="B246" s="13" t="s">
        <v>449</v>
      </c>
      <c r="C246" s="164" t="s">
        <v>662</v>
      </c>
      <c r="D246" s="18"/>
      <c r="E246" s="13" t="s">
        <v>663</v>
      </c>
      <c r="F246" s="18"/>
      <c r="G246" s="13" t="s">
        <v>664</v>
      </c>
      <c r="H246" s="14"/>
      <c r="I246" s="13" t="s">
        <v>474</v>
      </c>
      <c r="J246" s="185" t="s">
        <v>475</v>
      </c>
      <c r="K246" s="13" t="s">
        <v>665</v>
      </c>
      <c r="L246" s="184" t="s">
        <v>666</v>
      </c>
      <c r="M246" s="111" t="s">
        <v>74</v>
      </c>
      <c r="N246" s="80"/>
    </row>
    <row r="247" spans="1:14" ht="48.75">
      <c r="A247" s="54">
        <v>235</v>
      </c>
      <c r="B247" s="13" t="s">
        <v>449</v>
      </c>
      <c r="C247" s="164" t="s">
        <v>662</v>
      </c>
      <c r="D247" s="18"/>
      <c r="E247" s="13" t="s">
        <v>667</v>
      </c>
      <c r="F247" s="18"/>
      <c r="G247" s="13" t="s">
        <v>668</v>
      </c>
      <c r="H247" s="14"/>
      <c r="I247" s="13" t="s">
        <v>474</v>
      </c>
      <c r="J247" s="185" t="s">
        <v>475</v>
      </c>
      <c r="K247" s="13" t="s">
        <v>665</v>
      </c>
      <c r="L247" s="184" t="s">
        <v>666</v>
      </c>
      <c r="M247" s="111" t="s">
        <v>74</v>
      </c>
      <c r="N247" s="80"/>
    </row>
    <row r="248" spans="1:14" ht="120" customHeight="1">
      <c r="A248" s="54">
        <v>236</v>
      </c>
      <c r="B248" s="152" t="s">
        <v>259</v>
      </c>
      <c r="C248" s="166" t="s">
        <v>669</v>
      </c>
      <c r="D248" s="18"/>
      <c r="E248" s="150" t="s">
        <v>670</v>
      </c>
      <c r="F248" s="18"/>
      <c r="G248" s="13" t="s">
        <v>671</v>
      </c>
      <c r="H248" s="13" t="s">
        <v>263</v>
      </c>
      <c r="I248" s="13" t="s">
        <v>672</v>
      </c>
      <c r="J248" s="13" t="s">
        <v>673</v>
      </c>
      <c r="K248" s="13" t="s">
        <v>674</v>
      </c>
      <c r="L248" s="13" t="s">
        <v>675</v>
      </c>
      <c r="M248" s="18"/>
      <c r="N248" s="80"/>
    </row>
    <row r="249" spans="1:14" ht="120" customHeight="1">
      <c r="A249" s="54">
        <v>237</v>
      </c>
      <c r="B249" s="152" t="s">
        <v>259</v>
      </c>
      <c r="C249" s="166" t="s">
        <v>669</v>
      </c>
      <c r="D249" s="18"/>
      <c r="E249" s="150" t="s">
        <v>676</v>
      </c>
      <c r="F249" s="18"/>
      <c r="G249" s="13" t="s">
        <v>671</v>
      </c>
      <c r="H249" s="13" t="s">
        <v>263</v>
      </c>
      <c r="I249" s="13" t="s">
        <v>672</v>
      </c>
      <c r="J249" s="13" t="s">
        <v>673</v>
      </c>
      <c r="K249" s="13" t="s">
        <v>677</v>
      </c>
      <c r="L249" s="13" t="s">
        <v>678</v>
      </c>
      <c r="M249" s="18"/>
      <c r="N249" s="80"/>
    </row>
    <row r="250" spans="1:14" ht="108.75" customHeight="1">
      <c r="A250" s="54">
        <v>238</v>
      </c>
      <c r="B250" s="152" t="s">
        <v>259</v>
      </c>
      <c r="C250" s="166" t="s">
        <v>669</v>
      </c>
      <c r="D250" s="18"/>
      <c r="E250" s="150" t="s">
        <v>670</v>
      </c>
      <c r="F250" s="18"/>
      <c r="G250" s="13" t="s">
        <v>671</v>
      </c>
      <c r="H250" s="151" t="s">
        <v>268</v>
      </c>
      <c r="I250" s="13" t="s">
        <v>679</v>
      </c>
      <c r="J250" s="13" t="s">
        <v>680</v>
      </c>
      <c r="K250" s="13" t="s">
        <v>681</v>
      </c>
      <c r="L250" s="13" t="s">
        <v>682</v>
      </c>
      <c r="M250" s="18"/>
      <c r="N250" s="80"/>
    </row>
    <row r="251" spans="1:14" ht="108.75" customHeight="1">
      <c r="A251" s="54">
        <v>239</v>
      </c>
      <c r="B251" s="152" t="s">
        <v>259</v>
      </c>
      <c r="C251" s="166" t="s">
        <v>669</v>
      </c>
      <c r="D251" s="18"/>
      <c r="E251" s="150" t="s">
        <v>676</v>
      </c>
      <c r="F251" s="18"/>
      <c r="G251" s="13" t="s">
        <v>683</v>
      </c>
      <c r="H251" s="151" t="s">
        <v>268</v>
      </c>
      <c r="I251" s="13" t="s">
        <v>679</v>
      </c>
      <c r="J251" s="13" t="s">
        <v>680</v>
      </c>
      <c r="K251" s="13" t="s">
        <v>684</v>
      </c>
      <c r="L251" s="13" t="s">
        <v>685</v>
      </c>
      <c r="M251" s="18"/>
      <c r="N251" s="80"/>
    </row>
    <row r="252" spans="1:14" ht="114" customHeight="1">
      <c r="A252" s="54">
        <v>240</v>
      </c>
      <c r="B252" s="152" t="s">
        <v>259</v>
      </c>
      <c r="C252" s="166" t="s">
        <v>669</v>
      </c>
      <c r="D252" s="18"/>
      <c r="E252" s="150" t="s">
        <v>686</v>
      </c>
      <c r="F252" s="18"/>
      <c r="G252" s="13" t="s">
        <v>671</v>
      </c>
      <c r="H252" s="13" t="s">
        <v>263</v>
      </c>
      <c r="I252" s="13" t="s">
        <v>672</v>
      </c>
      <c r="J252" s="13" t="s">
        <v>673</v>
      </c>
      <c r="K252" s="13" t="s">
        <v>687</v>
      </c>
      <c r="L252" s="13" t="s">
        <v>675</v>
      </c>
      <c r="M252" s="18"/>
      <c r="N252" s="80"/>
    </row>
    <row r="253" spans="1:14" ht="114" customHeight="1">
      <c r="A253" s="54">
        <v>241</v>
      </c>
      <c r="B253" s="152" t="s">
        <v>259</v>
      </c>
      <c r="C253" s="166" t="s">
        <v>669</v>
      </c>
      <c r="D253" s="18"/>
      <c r="E253" s="150" t="s">
        <v>686</v>
      </c>
      <c r="F253" s="18"/>
      <c r="G253" s="13" t="s">
        <v>671</v>
      </c>
      <c r="H253" s="13" t="s">
        <v>263</v>
      </c>
      <c r="I253" s="13" t="s">
        <v>672</v>
      </c>
      <c r="J253" s="13" t="s">
        <v>673</v>
      </c>
      <c r="K253" s="13" t="s">
        <v>688</v>
      </c>
      <c r="L253" s="13" t="s">
        <v>678</v>
      </c>
      <c r="M253" s="18"/>
      <c r="N253" s="80"/>
    </row>
    <row r="254" spans="1:14" ht="123.75" customHeight="1">
      <c r="A254" s="54">
        <v>242</v>
      </c>
      <c r="B254" s="152" t="s">
        <v>259</v>
      </c>
      <c r="C254" s="166" t="s">
        <v>669</v>
      </c>
      <c r="D254" s="18"/>
      <c r="E254" s="150" t="s">
        <v>686</v>
      </c>
      <c r="F254" s="18"/>
      <c r="G254" s="13" t="s">
        <v>671</v>
      </c>
      <c r="H254" s="151" t="s">
        <v>268</v>
      </c>
      <c r="I254" s="13" t="s">
        <v>679</v>
      </c>
      <c r="J254" s="13" t="s">
        <v>680</v>
      </c>
      <c r="K254" s="13" t="s">
        <v>689</v>
      </c>
      <c r="L254" s="13" t="s">
        <v>682</v>
      </c>
      <c r="M254" s="18"/>
      <c r="N254" s="80"/>
    </row>
    <row r="255" spans="1:14" ht="115.5" customHeight="1">
      <c r="A255" s="54">
        <v>243</v>
      </c>
      <c r="B255" s="152" t="s">
        <v>259</v>
      </c>
      <c r="C255" s="166" t="s">
        <v>669</v>
      </c>
      <c r="D255" s="18"/>
      <c r="E255" s="150" t="s">
        <v>686</v>
      </c>
      <c r="F255" s="18"/>
      <c r="G255" s="13" t="s">
        <v>671</v>
      </c>
      <c r="H255" s="151" t="s">
        <v>268</v>
      </c>
      <c r="I255" s="13" t="s">
        <v>679</v>
      </c>
      <c r="J255" s="13" t="s">
        <v>680</v>
      </c>
      <c r="K255" s="13" t="s">
        <v>690</v>
      </c>
      <c r="L255" s="13" t="s">
        <v>685</v>
      </c>
      <c r="M255" s="18"/>
      <c r="N255" s="80"/>
    </row>
    <row r="256" spans="1:14" ht="121.5" customHeight="1">
      <c r="A256" s="54">
        <v>244</v>
      </c>
      <c r="B256" s="152" t="s">
        <v>259</v>
      </c>
      <c r="C256" s="166" t="s">
        <v>669</v>
      </c>
      <c r="D256" s="18"/>
      <c r="E256" s="150" t="s">
        <v>691</v>
      </c>
      <c r="F256" s="18"/>
      <c r="G256" s="13" t="s">
        <v>671</v>
      </c>
      <c r="H256" s="13" t="s">
        <v>263</v>
      </c>
      <c r="I256" s="13" t="s">
        <v>672</v>
      </c>
      <c r="J256" s="13" t="s">
        <v>673</v>
      </c>
      <c r="K256" s="13" t="s">
        <v>692</v>
      </c>
      <c r="L256" s="13" t="s">
        <v>675</v>
      </c>
      <c r="M256" s="18"/>
      <c r="N256" s="80"/>
    </row>
    <row r="257" spans="1:15" ht="114" customHeight="1">
      <c r="A257" s="54">
        <v>245</v>
      </c>
      <c r="B257" s="152" t="s">
        <v>259</v>
      </c>
      <c r="C257" s="166" t="s">
        <v>669</v>
      </c>
      <c r="D257" s="18"/>
      <c r="E257" s="150" t="s">
        <v>691</v>
      </c>
      <c r="F257" s="18"/>
      <c r="G257" s="13" t="s">
        <v>671</v>
      </c>
      <c r="H257" s="13" t="s">
        <v>263</v>
      </c>
      <c r="I257" s="13" t="s">
        <v>672</v>
      </c>
      <c r="J257" s="13" t="s">
        <v>673</v>
      </c>
      <c r="K257" s="13" t="s">
        <v>693</v>
      </c>
      <c r="L257" s="13" t="s">
        <v>678</v>
      </c>
      <c r="M257" s="18"/>
      <c r="N257" s="80"/>
    </row>
    <row r="258" spans="1:15" ht="116.25" customHeight="1">
      <c r="A258" s="54">
        <v>246</v>
      </c>
      <c r="B258" s="152" t="s">
        <v>259</v>
      </c>
      <c r="C258" s="166" t="s">
        <v>669</v>
      </c>
      <c r="D258" s="18"/>
      <c r="E258" s="150" t="s">
        <v>691</v>
      </c>
      <c r="F258" s="18"/>
      <c r="G258" s="13" t="s">
        <v>671</v>
      </c>
      <c r="H258" s="151" t="s">
        <v>268</v>
      </c>
      <c r="I258" s="13" t="s">
        <v>679</v>
      </c>
      <c r="J258" s="13" t="s">
        <v>680</v>
      </c>
      <c r="K258" s="13" t="s">
        <v>694</v>
      </c>
      <c r="L258" s="13" t="s">
        <v>682</v>
      </c>
      <c r="M258" s="18"/>
      <c r="N258" s="80"/>
    </row>
    <row r="259" spans="1:15" ht="114" customHeight="1">
      <c r="A259" s="54">
        <v>247</v>
      </c>
      <c r="B259" s="152" t="s">
        <v>259</v>
      </c>
      <c r="C259" s="166" t="s">
        <v>669</v>
      </c>
      <c r="D259" s="18"/>
      <c r="E259" s="150" t="s">
        <v>691</v>
      </c>
      <c r="F259" s="18"/>
      <c r="G259" s="13" t="s">
        <v>671</v>
      </c>
      <c r="H259" s="151" t="s">
        <v>268</v>
      </c>
      <c r="I259" s="13" t="s">
        <v>679</v>
      </c>
      <c r="J259" s="13" t="s">
        <v>680</v>
      </c>
      <c r="K259" s="13" t="s">
        <v>695</v>
      </c>
      <c r="L259" s="13" t="s">
        <v>685</v>
      </c>
      <c r="M259" s="18"/>
      <c r="N259" s="80"/>
    </row>
    <row r="260" spans="1:15" ht="111" customHeight="1">
      <c r="A260" s="54">
        <v>248</v>
      </c>
      <c r="B260" s="152" t="s">
        <v>259</v>
      </c>
      <c r="C260" s="166" t="s">
        <v>669</v>
      </c>
      <c r="D260" s="18"/>
      <c r="E260" s="150" t="s">
        <v>696</v>
      </c>
      <c r="F260" s="18"/>
      <c r="G260" s="13" t="s">
        <v>697</v>
      </c>
      <c r="H260" s="13" t="s">
        <v>263</v>
      </c>
      <c r="I260" s="13" t="s">
        <v>672</v>
      </c>
      <c r="J260" s="13" t="s">
        <v>673</v>
      </c>
      <c r="K260" s="13" t="s">
        <v>692</v>
      </c>
      <c r="L260" s="13" t="s">
        <v>675</v>
      </c>
      <c r="M260" s="18"/>
      <c r="N260" s="80"/>
    </row>
    <row r="261" spans="1:15" ht="111" customHeight="1">
      <c r="A261" s="54">
        <v>249</v>
      </c>
      <c r="B261" s="152" t="s">
        <v>259</v>
      </c>
      <c r="C261" s="166" t="s">
        <v>669</v>
      </c>
      <c r="D261" s="18"/>
      <c r="E261" s="150" t="s">
        <v>696</v>
      </c>
      <c r="F261" s="18"/>
      <c r="G261" s="13" t="s">
        <v>697</v>
      </c>
      <c r="H261" s="13" t="s">
        <v>263</v>
      </c>
      <c r="I261" s="13" t="s">
        <v>672</v>
      </c>
      <c r="J261" s="13" t="s">
        <v>673</v>
      </c>
      <c r="K261" s="13" t="s">
        <v>693</v>
      </c>
      <c r="L261" s="13" t="s">
        <v>678</v>
      </c>
      <c r="M261" s="18"/>
      <c r="N261" s="80"/>
    </row>
    <row r="262" spans="1:15" ht="119.25" customHeight="1">
      <c r="A262" s="54">
        <v>250</v>
      </c>
      <c r="B262" s="152" t="s">
        <v>259</v>
      </c>
      <c r="C262" s="166" t="s">
        <v>669</v>
      </c>
      <c r="D262" s="18"/>
      <c r="E262" s="150" t="s">
        <v>696</v>
      </c>
      <c r="F262" s="18"/>
      <c r="G262" s="13" t="s">
        <v>697</v>
      </c>
      <c r="H262" s="151" t="s">
        <v>268</v>
      </c>
      <c r="I262" s="13" t="s">
        <v>679</v>
      </c>
      <c r="J262" s="13" t="s">
        <v>680</v>
      </c>
      <c r="K262" s="13" t="s">
        <v>694</v>
      </c>
      <c r="L262" s="13" t="s">
        <v>682</v>
      </c>
      <c r="M262" s="18"/>
      <c r="N262" s="80"/>
    </row>
    <row r="263" spans="1:15" ht="123" customHeight="1">
      <c r="A263" s="54">
        <v>251</v>
      </c>
      <c r="B263" s="152" t="s">
        <v>259</v>
      </c>
      <c r="C263" s="166" t="s">
        <v>669</v>
      </c>
      <c r="D263" s="18"/>
      <c r="E263" s="150" t="s">
        <v>696</v>
      </c>
      <c r="F263" s="18"/>
      <c r="G263" s="13" t="s">
        <v>697</v>
      </c>
      <c r="H263" s="151" t="s">
        <v>268</v>
      </c>
      <c r="I263" s="13" t="s">
        <v>679</v>
      </c>
      <c r="J263" s="13" t="s">
        <v>680</v>
      </c>
      <c r="K263" s="13" t="s">
        <v>695</v>
      </c>
      <c r="L263" s="13" t="s">
        <v>685</v>
      </c>
      <c r="M263" s="18"/>
      <c r="N263" s="80"/>
    </row>
    <row r="264" spans="1:15" ht="123" customHeight="1">
      <c r="A264" s="54">
        <v>252</v>
      </c>
      <c r="B264" s="152" t="s">
        <v>259</v>
      </c>
      <c r="C264" s="166" t="s">
        <v>669</v>
      </c>
      <c r="D264" s="18"/>
      <c r="E264" s="150" t="s">
        <v>698</v>
      </c>
      <c r="F264" s="18"/>
      <c r="G264" s="13" t="s">
        <v>699</v>
      </c>
      <c r="H264" s="13" t="s">
        <v>263</v>
      </c>
      <c r="I264" s="13" t="s">
        <v>672</v>
      </c>
      <c r="J264" s="13" t="s">
        <v>673</v>
      </c>
      <c r="K264" s="13" t="s">
        <v>700</v>
      </c>
      <c r="L264" s="13" t="s">
        <v>701</v>
      </c>
      <c r="M264" s="18"/>
      <c r="N264" s="80"/>
    </row>
    <row r="265" spans="1:15" ht="128.25" customHeight="1">
      <c r="A265" s="54">
        <v>253</v>
      </c>
      <c r="B265" s="152" t="s">
        <v>259</v>
      </c>
      <c r="C265" s="166" t="s">
        <v>669</v>
      </c>
      <c r="D265" s="18"/>
      <c r="E265" s="150" t="s">
        <v>698</v>
      </c>
      <c r="F265" s="18"/>
      <c r="G265" s="13" t="s">
        <v>702</v>
      </c>
      <c r="H265" s="13" t="s">
        <v>263</v>
      </c>
      <c r="I265" s="13" t="s">
        <v>672</v>
      </c>
      <c r="J265" s="13" t="s">
        <v>673</v>
      </c>
      <c r="K265" s="13" t="s">
        <v>703</v>
      </c>
      <c r="L265" s="13" t="s">
        <v>704</v>
      </c>
      <c r="M265" s="18"/>
      <c r="N265" s="80"/>
    </row>
    <row r="266" spans="1:15" ht="125.25" customHeight="1">
      <c r="A266" s="54">
        <v>254</v>
      </c>
      <c r="B266" s="152" t="s">
        <v>259</v>
      </c>
      <c r="C266" s="166" t="s">
        <v>669</v>
      </c>
      <c r="D266" s="18"/>
      <c r="E266" s="150" t="s">
        <v>698</v>
      </c>
      <c r="F266" s="18"/>
      <c r="G266" s="13" t="s">
        <v>702</v>
      </c>
      <c r="H266" s="151" t="s">
        <v>268</v>
      </c>
      <c r="I266" s="13" t="s">
        <v>679</v>
      </c>
      <c r="J266" s="13" t="s">
        <v>680</v>
      </c>
      <c r="K266" s="13" t="s">
        <v>705</v>
      </c>
      <c r="L266" s="13" t="s">
        <v>701</v>
      </c>
      <c r="M266" s="18"/>
      <c r="N266" s="80"/>
    </row>
    <row r="267" spans="1:15" ht="121.5" customHeight="1">
      <c r="A267" s="54">
        <v>255</v>
      </c>
      <c r="B267" s="152" t="s">
        <v>259</v>
      </c>
      <c r="C267" s="166" t="s">
        <v>669</v>
      </c>
      <c r="D267" s="18"/>
      <c r="E267" s="150" t="s">
        <v>698</v>
      </c>
      <c r="F267" s="18"/>
      <c r="G267" s="13" t="s">
        <v>702</v>
      </c>
      <c r="H267" s="151" t="s">
        <v>268</v>
      </c>
      <c r="I267" s="13" t="s">
        <v>679</v>
      </c>
      <c r="J267" s="13" t="s">
        <v>680</v>
      </c>
      <c r="K267" s="13" t="s">
        <v>706</v>
      </c>
      <c r="L267" s="13" t="s">
        <v>704</v>
      </c>
      <c r="M267" s="18"/>
      <c r="N267" s="80"/>
    </row>
    <row r="268" spans="1:15" ht="118.5" customHeight="1">
      <c r="A268" s="54">
        <v>256</v>
      </c>
      <c r="B268" s="152" t="s">
        <v>259</v>
      </c>
      <c r="C268" s="166" t="s">
        <v>669</v>
      </c>
      <c r="D268" s="18"/>
      <c r="E268" s="150" t="s">
        <v>707</v>
      </c>
      <c r="F268" s="18"/>
      <c r="G268" s="13" t="s">
        <v>708</v>
      </c>
      <c r="H268" s="13" t="s">
        <v>263</v>
      </c>
      <c r="I268" s="13" t="s">
        <v>672</v>
      </c>
      <c r="J268" s="13" t="s">
        <v>673</v>
      </c>
      <c r="K268" s="13" t="s">
        <v>709</v>
      </c>
      <c r="L268" s="13" t="s">
        <v>701</v>
      </c>
      <c r="M268" s="159"/>
      <c r="N268" s="80"/>
    </row>
    <row r="269" spans="1:15" ht="119.25" customHeight="1">
      <c r="A269" s="54">
        <v>257</v>
      </c>
      <c r="B269" s="152" t="s">
        <v>259</v>
      </c>
      <c r="C269" s="166" t="s">
        <v>669</v>
      </c>
      <c r="D269" s="18"/>
      <c r="E269" s="150" t="s">
        <v>707</v>
      </c>
      <c r="F269" s="18"/>
      <c r="G269" s="13" t="s">
        <v>710</v>
      </c>
      <c r="H269" s="13" t="s">
        <v>263</v>
      </c>
      <c r="I269" s="13" t="s">
        <v>672</v>
      </c>
      <c r="J269" s="13" t="s">
        <v>673</v>
      </c>
      <c r="K269" s="13" t="s">
        <v>711</v>
      </c>
      <c r="L269" s="13" t="s">
        <v>704</v>
      </c>
      <c r="M269" s="159"/>
      <c r="N269" s="80"/>
    </row>
    <row r="270" spans="1:15" ht="120.75" customHeight="1">
      <c r="A270" s="54">
        <v>258</v>
      </c>
      <c r="B270" s="152" t="s">
        <v>259</v>
      </c>
      <c r="C270" s="166" t="s">
        <v>669</v>
      </c>
      <c r="D270" s="18"/>
      <c r="E270" s="150" t="s">
        <v>707</v>
      </c>
      <c r="F270" s="18"/>
      <c r="G270" s="13" t="s">
        <v>712</v>
      </c>
      <c r="H270" s="151" t="s">
        <v>268</v>
      </c>
      <c r="I270" s="13" t="s">
        <v>679</v>
      </c>
      <c r="J270" s="13" t="s">
        <v>680</v>
      </c>
      <c r="K270" s="13" t="s">
        <v>713</v>
      </c>
      <c r="L270" s="13" t="s">
        <v>701</v>
      </c>
      <c r="M270" s="159"/>
      <c r="N270" s="80"/>
    </row>
    <row r="271" spans="1:15" ht="114" customHeight="1">
      <c r="A271" s="54">
        <v>259</v>
      </c>
      <c r="B271" s="152" t="s">
        <v>259</v>
      </c>
      <c r="C271" s="166" t="s">
        <v>669</v>
      </c>
      <c r="D271" s="18"/>
      <c r="E271" s="150" t="s">
        <v>707</v>
      </c>
      <c r="F271" s="18"/>
      <c r="G271" s="13" t="s">
        <v>712</v>
      </c>
      <c r="H271" s="151" t="s">
        <v>268</v>
      </c>
      <c r="I271" s="13" t="s">
        <v>679</v>
      </c>
      <c r="J271" s="13" t="s">
        <v>680</v>
      </c>
      <c r="K271" s="13" t="s">
        <v>714</v>
      </c>
      <c r="L271" s="13" t="s">
        <v>704</v>
      </c>
      <c r="M271" s="159"/>
      <c r="N271" s="80"/>
    </row>
    <row r="272" spans="1:15" ht="146.25">
      <c r="A272" s="54">
        <v>260</v>
      </c>
      <c r="B272" s="186" t="s">
        <v>259</v>
      </c>
      <c r="C272" s="187" t="s">
        <v>669</v>
      </c>
      <c r="D272" s="82"/>
      <c r="E272" s="150" t="s">
        <v>715</v>
      </c>
      <c r="F272" s="18"/>
      <c r="G272" s="13" t="s">
        <v>716</v>
      </c>
      <c r="H272" s="13" t="s">
        <v>263</v>
      </c>
      <c r="I272" s="13" t="s">
        <v>672</v>
      </c>
      <c r="J272" s="13" t="s">
        <v>673</v>
      </c>
      <c r="K272" s="13" t="s">
        <v>717</v>
      </c>
      <c r="L272" s="13" t="s">
        <v>718</v>
      </c>
      <c r="M272" s="188"/>
      <c r="N272" s="121"/>
      <c r="O272" s="48"/>
    </row>
    <row r="273" spans="1:14" ht="146.25">
      <c r="A273" s="54">
        <v>261</v>
      </c>
      <c r="B273" s="152" t="s">
        <v>259</v>
      </c>
      <c r="C273" s="119" t="s">
        <v>669</v>
      </c>
      <c r="D273" s="18"/>
      <c r="E273" s="150" t="s">
        <v>719</v>
      </c>
      <c r="F273" s="18"/>
      <c r="G273" s="13" t="s">
        <v>720</v>
      </c>
      <c r="H273" s="13" t="s">
        <v>263</v>
      </c>
      <c r="I273" s="13" t="s">
        <v>672</v>
      </c>
      <c r="J273" s="13" t="s">
        <v>673</v>
      </c>
      <c r="K273" s="13" t="s">
        <v>721</v>
      </c>
      <c r="L273" s="13" t="s">
        <v>722</v>
      </c>
      <c r="M273" s="159"/>
      <c r="N273" s="18"/>
    </row>
    <row r="274" spans="1:14" ht="113.25">
      <c r="A274" s="54">
        <v>262</v>
      </c>
      <c r="B274" s="152" t="s">
        <v>259</v>
      </c>
      <c r="C274" s="119" t="s">
        <v>669</v>
      </c>
      <c r="D274" s="18"/>
      <c r="E274" s="150" t="s">
        <v>723</v>
      </c>
      <c r="F274" s="18"/>
      <c r="G274" s="13" t="s">
        <v>720</v>
      </c>
      <c r="H274" s="151" t="s">
        <v>268</v>
      </c>
      <c r="I274" s="13" t="s">
        <v>679</v>
      </c>
      <c r="J274" s="13" t="s">
        <v>680</v>
      </c>
      <c r="K274" s="13" t="s">
        <v>724</v>
      </c>
      <c r="L274" s="13" t="s">
        <v>725</v>
      </c>
      <c r="M274" s="159"/>
      <c r="N274" s="18"/>
    </row>
    <row r="275" spans="1:14" ht="113.25">
      <c r="A275" s="54">
        <v>263</v>
      </c>
      <c r="B275" s="152" t="s">
        <v>259</v>
      </c>
      <c r="C275" s="119" t="s">
        <v>669</v>
      </c>
      <c r="D275" s="18"/>
      <c r="E275" s="150" t="s">
        <v>726</v>
      </c>
      <c r="F275" s="18"/>
      <c r="G275" s="13" t="s">
        <v>720</v>
      </c>
      <c r="H275" s="151" t="s">
        <v>268</v>
      </c>
      <c r="I275" s="13" t="s">
        <v>679</v>
      </c>
      <c r="J275" s="13" t="s">
        <v>680</v>
      </c>
      <c r="K275" s="13" t="s">
        <v>727</v>
      </c>
      <c r="L275" s="13" t="s">
        <v>728</v>
      </c>
      <c r="M275" s="159"/>
      <c r="N275" s="18"/>
    </row>
    <row r="276" spans="1:14" ht="146.25">
      <c r="A276" s="54">
        <v>264</v>
      </c>
      <c r="B276" s="152" t="s">
        <v>259</v>
      </c>
      <c r="C276" s="119" t="s">
        <v>669</v>
      </c>
      <c r="D276" s="18"/>
      <c r="E276" s="150" t="s">
        <v>729</v>
      </c>
      <c r="F276" s="18"/>
      <c r="G276" s="13" t="s">
        <v>730</v>
      </c>
      <c r="H276" s="13" t="s">
        <v>263</v>
      </c>
      <c r="I276" s="13" t="s">
        <v>672</v>
      </c>
      <c r="J276" s="13" t="s">
        <v>673</v>
      </c>
      <c r="K276" s="13" t="s">
        <v>731</v>
      </c>
      <c r="L276" s="13" t="s">
        <v>718</v>
      </c>
      <c r="M276" s="159"/>
      <c r="N276" s="18"/>
    </row>
    <row r="277" spans="1:14" ht="146.25">
      <c r="A277" s="54">
        <v>265</v>
      </c>
      <c r="B277" s="152" t="s">
        <v>259</v>
      </c>
      <c r="C277" s="119" t="s">
        <v>669</v>
      </c>
      <c r="D277" s="18"/>
      <c r="E277" s="150" t="s">
        <v>732</v>
      </c>
      <c r="F277" s="18"/>
      <c r="G277" s="13" t="s">
        <v>733</v>
      </c>
      <c r="H277" s="13" t="s">
        <v>263</v>
      </c>
      <c r="I277" s="13" t="s">
        <v>672</v>
      </c>
      <c r="J277" s="13" t="s">
        <v>673</v>
      </c>
      <c r="K277" s="13" t="s">
        <v>734</v>
      </c>
      <c r="L277" s="13" t="s">
        <v>722</v>
      </c>
      <c r="M277" s="159"/>
      <c r="N277" s="18"/>
    </row>
    <row r="278" spans="1:14" ht="113.25">
      <c r="A278" s="54">
        <v>266</v>
      </c>
      <c r="B278" s="152" t="s">
        <v>259</v>
      </c>
      <c r="C278" s="119" t="s">
        <v>669</v>
      </c>
      <c r="D278" s="18"/>
      <c r="E278" s="150" t="s">
        <v>735</v>
      </c>
      <c r="F278" s="18"/>
      <c r="G278" s="13" t="s">
        <v>733</v>
      </c>
      <c r="H278" s="151" t="s">
        <v>268</v>
      </c>
      <c r="I278" s="13" t="s">
        <v>679</v>
      </c>
      <c r="J278" s="13" t="s">
        <v>680</v>
      </c>
      <c r="K278" s="13" t="s">
        <v>736</v>
      </c>
      <c r="L278" s="13" t="s">
        <v>725</v>
      </c>
      <c r="M278" s="159"/>
      <c r="N278" s="18"/>
    </row>
    <row r="279" spans="1:14" ht="113.25">
      <c r="A279" s="54">
        <v>267</v>
      </c>
      <c r="B279" s="152" t="s">
        <v>259</v>
      </c>
      <c r="C279" s="119" t="s">
        <v>669</v>
      </c>
      <c r="D279" s="18"/>
      <c r="E279" s="150" t="s">
        <v>737</v>
      </c>
      <c r="F279" s="18"/>
      <c r="G279" s="13" t="s">
        <v>738</v>
      </c>
      <c r="H279" s="151" t="s">
        <v>268</v>
      </c>
      <c r="I279" s="13" t="s">
        <v>679</v>
      </c>
      <c r="J279" s="13" t="s">
        <v>680</v>
      </c>
      <c r="K279" s="13" t="s">
        <v>739</v>
      </c>
      <c r="L279" s="13" t="s">
        <v>728</v>
      </c>
      <c r="M279" s="159"/>
      <c r="N279" s="18"/>
    </row>
    <row r="280" spans="1:14" ht="118.5" customHeight="1">
      <c r="A280" s="54">
        <v>268</v>
      </c>
      <c r="B280" s="152" t="s">
        <v>259</v>
      </c>
      <c r="C280" s="119" t="s">
        <v>669</v>
      </c>
      <c r="D280" s="18"/>
      <c r="E280" s="150" t="s">
        <v>740</v>
      </c>
      <c r="F280" s="18"/>
      <c r="G280" s="13" t="s">
        <v>741</v>
      </c>
      <c r="H280" s="13" t="s">
        <v>263</v>
      </c>
      <c r="I280" s="13" t="s">
        <v>672</v>
      </c>
      <c r="J280" s="13" t="s">
        <v>673</v>
      </c>
      <c r="K280" s="13" t="s">
        <v>742</v>
      </c>
      <c r="L280" s="13" t="s">
        <v>718</v>
      </c>
      <c r="M280" s="159"/>
      <c r="N280" s="18"/>
    </row>
    <row r="281" spans="1:14" ht="125.25" customHeight="1">
      <c r="A281" s="54">
        <v>269</v>
      </c>
      <c r="B281" s="152" t="s">
        <v>259</v>
      </c>
      <c r="C281" s="119" t="s">
        <v>669</v>
      </c>
      <c r="D281" s="18"/>
      <c r="E281" s="150" t="s">
        <v>743</v>
      </c>
      <c r="F281" s="18"/>
      <c r="G281" s="13" t="s">
        <v>744</v>
      </c>
      <c r="H281" s="13" t="s">
        <v>263</v>
      </c>
      <c r="I281" s="13" t="s">
        <v>672</v>
      </c>
      <c r="J281" s="13" t="s">
        <v>673</v>
      </c>
      <c r="K281" s="13" t="s">
        <v>745</v>
      </c>
      <c r="L281" s="13" t="s">
        <v>722</v>
      </c>
      <c r="M281" s="159"/>
      <c r="N281" s="18"/>
    </row>
    <row r="282" spans="1:14" ht="113.25">
      <c r="A282" s="54">
        <v>270</v>
      </c>
      <c r="B282" s="152" t="s">
        <v>259</v>
      </c>
      <c r="C282" s="119" t="s">
        <v>669</v>
      </c>
      <c r="D282" s="18"/>
      <c r="E282" s="150" t="s">
        <v>746</v>
      </c>
      <c r="F282" s="18"/>
      <c r="G282" s="13" t="s">
        <v>744</v>
      </c>
      <c r="H282" s="151" t="s">
        <v>268</v>
      </c>
      <c r="I282" s="13" t="s">
        <v>679</v>
      </c>
      <c r="J282" s="13" t="s">
        <v>680</v>
      </c>
      <c r="K282" s="13" t="s">
        <v>747</v>
      </c>
      <c r="L282" s="13" t="s">
        <v>725</v>
      </c>
      <c r="M282" s="159"/>
      <c r="N282" s="18"/>
    </row>
    <row r="283" spans="1:14" ht="113.25">
      <c r="A283" s="54">
        <v>271</v>
      </c>
      <c r="B283" s="152" t="s">
        <v>259</v>
      </c>
      <c r="C283" s="119" t="s">
        <v>669</v>
      </c>
      <c r="D283" s="18"/>
      <c r="E283" s="150" t="s">
        <v>748</v>
      </c>
      <c r="F283" s="18"/>
      <c r="G283" s="13" t="s">
        <v>744</v>
      </c>
      <c r="H283" s="151" t="s">
        <v>268</v>
      </c>
      <c r="I283" s="13" t="s">
        <v>679</v>
      </c>
      <c r="J283" s="13" t="s">
        <v>680</v>
      </c>
      <c r="K283" s="13" t="s">
        <v>749</v>
      </c>
      <c r="L283" s="13" t="s">
        <v>728</v>
      </c>
      <c r="M283" s="159"/>
      <c r="N283" s="18"/>
    </row>
    <row r="284" spans="1:14" ht="146.25">
      <c r="A284" s="54">
        <v>272</v>
      </c>
      <c r="B284" s="152" t="s">
        <v>259</v>
      </c>
      <c r="C284" s="119" t="s">
        <v>669</v>
      </c>
      <c r="D284" s="18"/>
      <c r="E284" s="150" t="s">
        <v>750</v>
      </c>
      <c r="F284" s="18"/>
      <c r="G284" s="13" t="s">
        <v>751</v>
      </c>
      <c r="H284" s="13" t="s">
        <v>263</v>
      </c>
      <c r="I284" s="13" t="s">
        <v>672</v>
      </c>
      <c r="J284" s="13" t="s">
        <v>673</v>
      </c>
      <c r="K284" s="13" t="s">
        <v>752</v>
      </c>
      <c r="L284" s="13" t="s">
        <v>718</v>
      </c>
      <c r="M284" s="159"/>
      <c r="N284" s="18"/>
    </row>
    <row r="285" spans="1:14" ht="146.25">
      <c r="A285" s="54">
        <v>273</v>
      </c>
      <c r="B285" s="152" t="s">
        <v>259</v>
      </c>
      <c r="C285" s="119" t="s">
        <v>669</v>
      </c>
      <c r="D285" s="18"/>
      <c r="E285" s="150" t="s">
        <v>753</v>
      </c>
      <c r="F285" s="18"/>
      <c r="G285" s="13" t="s">
        <v>738</v>
      </c>
      <c r="H285" s="13" t="s">
        <v>263</v>
      </c>
      <c r="I285" s="13" t="s">
        <v>672</v>
      </c>
      <c r="J285" s="13" t="s">
        <v>673</v>
      </c>
      <c r="K285" s="13" t="s">
        <v>754</v>
      </c>
      <c r="L285" s="13" t="s">
        <v>722</v>
      </c>
      <c r="M285" s="159"/>
      <c r="N285" s="18"/>
    </row>
    <row r="286" spans="1:14" ht="113.25">
      <c r="A286" s="54">
        <v>274</v>
      </c>
      <c r="B286" s="152" t="s">
        <v>259</v>
      </c>
      <c r="C286" s="119" t="s">
        <v>669</v>
      </c>
      <c r="D286" s="18"/>
      <c r="E286" s="150" t="s">
        <v>755</v>
      </c>
      <c r="F286" s="18"/>
      <c r="G286" s="13" t="s">
        <v>738</v>
      </c>
      <c r="H286" s="151" t="s">
        <v>268</v>
      </c>
      <c r="I286" s="13" t="s">
        <v>679</v>
      </c>
      <c r="J286" s="13" t="s">
        <v>680</v>
      </c>
      <c r="K286" s="13" t="s">
        <v>756</v>
      </c>
      <c r="L286" s="13" t="s">
        <v>725</v>
      </c>
      <c r="M286" s="159"/>
      <c r="N286" s="18"/>
    </row>
    <row r="287" spans="1:14" ht="113.25">
      <c r="A287" s="54">
        <v>275</v>
      </c>
      <c r="B287" s="152" t="s">
        <v>259</v>
      </c>
      <c r="C287" s="119" t="s">
        <v>669</v>
      </c>
      <c r="D287" s="18"/>
      <c r="E287" s="150" t="s">
        <v>757</v>
      </c>
      <c r="F287" s="18"/>
      <c r="G287" s="13" t="s">
        <v>738</v>
      </c>
      <c r="H287" s="151" t="s">
        <v>268</v>
      </c>
      <c r="I287" s="13" t="s">
        <v>679</v>
      </c>
      <c r="J287" s="13" t="s">
        <v>680</v>
      </c>
      <c r="K287" s="13" t="s">
        <v>758</v>
      </c>
      <c r="L287" s="13" t="s">
        <v>728</v>
      </c>
      <c r="M287" s="159"/>
      <c r="N287" s="18"/>
    </row>
    <row r="288" spans="1:14" ht="115.5" customHeight="1">
      <c r="A288" s="54">
        <v>276</v>
      </c>
      <c r="B288" s="152" t="s">
        <v>259</v>
      </c>
      <c r="C288" s="119" t="s">
        <v>669</v>
      </c>
      <c r="D288" s="18"/>
      <c r="E288" s="150" t="s">
        <v>759</v>
      </c>
      <c r="F288" s="18"/>
      <c r="G288" s="13" t="s">
        <v>760</v>
      </c>
      <c r="H288" s="13" t="s">
        <v>263</v>
      </c>
      <c r="I288" s="13" t="s">
        <v>672</v>
      </c>
      <c r="J288" s="13" t="s">
        <v>673</v>
      </c>
      <c r="K288" s="13" t="s">
        <v>761</v>
      </c>
      <c r="L288" s="13" t="s">
        <v>762</v>
      </c>
      <c r="M288" s="159"/>
      <c r="N288" s="18"/>
    </row>
    <row r="289" spans="1:14" ht="112.5" customHeight="1">
      <c r="A289" s="54">
        <v>277</v>
      </c>
      <c r="B289" s="152" t="s">
        <v>259</v>
      </c>
      <c r="C289" s="119" t="s">
        <v>669</v>
      </c>
      <c r="D289" s="18"/>
      <c r="E289" s="150" t="s">
        <v>763</v>
      </c>
      <c r="F289" s="18"/>
      <c r="G289" s="13" t="s">
        <v>764</v>
      </c>
      <c r="H289" s="13" t="s">
        <v>263</v>
      </c>
      <c r="I289" s="13" t="s">
        <v>672</v>
      </c>
      <c r="J289" s="13" t="s">
        <v>673</v>
      </c>
      <c r="K289" s="13" t="s">
        <v>765</v>
      </c>
      <c r="L289" s="13" t="s">
        <v>766</v>
      </c>
      <c r="M289" s="159"/>
      <c r="N289" s="18"/>
    </row>
    <row r="290" spans="1:14" ht="117.75" customHeight="1">
      <c r="A290" s="54">
        <v>278</v>
      </c>
      <c r="B290" s="152" t="s">
        <v>259</v>
      </c>
      <c r="C290" s="119" t="s">
        <v>669</v>
      </c>
      <c r="D290" s="18"/>
      <c r="E290" s="150" t="s">
        <v>763</v>
      </c>
      <c r="F290" s="18"/>
      <c r="G290" s="13" t="s">
        <v>767</v>
      </c>
      <c r="H290" s="151" t="s">
        <v>268</v>
      </c>
      <c r="I290" s="13" t="s">
        <v>679</v>
      </c>
      <c r="J290" s="13" t="s">
        <v>680</v>
      </c>
      <c r="K290" s="13" t="s">
        <v>768</v>
      </c>
      <c r="L290" s="13" t="s">
        <v>762</v>
      </c>
      <c r="M290" s="159"/>
      <c r="N290" s="18"/>
    </row>
    <row r="291" spans="1:14" ht="122.25" customHeight="1">
      <c r="A291" s="54">
        <v>279</v>
      </c>
      <c r="B291" s="152" t="s">
        <v>259</v>
      </c>
      <c r="C291" s="119" t="s">
        <v>669</v>
      </c>
      <c r="D291" s="18"/>
      <c r="E291" s="150" t="s">
        <v>769</v>
      </c>
      <c r="F291" s="18"/>
      <c r="G291" s="13" t="s">
        <v>767</v>
      </c>
      <c r="H291" s="151" t="s">
        <v>268</v>
      </c>
      <c r="I291" s="13" t="s">
        <v>679</v>
      </c>
      <c r="J291" s="13" t="s">
        <v>680</v>
      </c>
      <c r="K291" s="13" t="s">
        <v>770</v>
      </c>
      <c r="L291" s="13" t="s">
        <v>766</v>
      </c>
      <c r="M291" s="159"/>
      <c r="N291" s="18"/>
    </row>
    <row r="292" spans="1:14" ht="123.75" customHeight="1">
      <c r="A292" s="54">
        <v>280</v>
      </c>
      <c r="B292" s="152" t="s">
        <v>259</v>
      </c>
      <c r="C292" s="119" t="s">
        <v>669</v>
      </c>
      <c r="D292" s="18"/>
      <c r="E292" s="150" t="s">
        <v>771</v>
      </c>
      <c r="F292" s="18"/>
      <c r="G292" s="13" t="s">
        <v>772</v>
      </c>
      <c r="H292" s="13" t="s">
        <v>263</v>
      </c>
      <c r="I292" s="13" t="s">
        <v>672</v>
      </c>
      <c r="J292" s="13" t="s">
        <v>673</v>
      </c>
      <c r="K292" s="13" t="s">
        <v>773</v>
      </c>
      <c r="L292" s="13" t="s">
        <v>774</v>
      </c>
      <c r="M292" s="159"/>
      <c r="N292" s="18"/>
    </row>
    <row r="293" spans="1:14" ht="112.5" customHeight="1">
      <c r="A293" s="54">
        <v>281</v>
      </c>
      <c r="B293" s="152" t="s">
        <v>259</v>
      </c>
      <c r="C293" s="119" t="s">
        <v>669</v>
      </c>
      <c r="D293" s="18"/>
      <c r="E293" s="150" t="s">
        <v>775</v>
      </c>
      <c r="F293" s="18"/>
      <c r="G293" s="13" t="s">
        <v>776</v>
      </c>
      <c r="H293" s="13" t="s">
        <v>263</v>
      </c>
      <c r="I293" s="13" t="s">
        <v>672</v>
      </c>
      <c r="J293" s="13" t="s">
        <v>673</v>
      </c>
      <c r="K293" s="13" t="s">
        <v>777</v>
      </c>
      <c r="L293" s="13" t="s">
        <v>704</v>
      </c>
      <c r="M293" s="159"/>
      <c r="N293" s="18"/>
    </row>
    <row r="294" spans="1:14" ht="117" customHeight="1">
      <c r="A294" s="54">
        <v>282</v>
      </c>
      <c r="B294" s="152" t="s">
        <v>259</v>
      </c>
      <c r="C294" s="119" t="s">
        <v>669</v>
      </c>
      <c r="D294" s="18"/>
      <c r="E294" s="150" t="s">
        <v>775</v>
      </c>
      <c r="F294" s="18"/>
      <c r="G294" s="13" t="s">
        <v>778</v>
      </c>
      <c r="H294" s="151" t="s">
        <v>268</v>
      </c>
      <c r="I294" s="13" t="s">
        <v>679</v>
      </c>
      <c r="J294" s="13" t="s">
        <v>680</v>
      </c>
      <c r="K294" s="13" t="s">
        <v>779</v>
      </c>
      <c r="L294" s="13" t="s">
        <v>774</v>
      </c>
      <c r="M294" s="159"/>
      <c r="N294" s="18"/>
    </row>
    <row r="295" spans="1:14" ht="123" customHeight="1">
      <c r="A295" s="54">
        <v>283</v>
      </c>
      <c r="B295" s="152" t="s">
        <v>259</v>
      </c>
      <c r="C295" s="119" t="s">
        <v>669</v>
      </c>
      <c r="D295" s="18"/>
      <c r="E295" s="150" t="s">
        <v>780</v>
      </c>
      <c r="F295" s="18"/>
      <c r="G295" s="13" t="s">
        <v>778</v>
      </c>
      <c r="H295" s="151" t="s">
        <v>268</v>
      </c>
      <c r="I295" s="13" t="s">
        <v>679</v>
      </c>
      <c r="J295" s="13" t="s">
        <v>680</v>
      </c>
      <c r="K295" s="13" t="s">
        <v>781</v>
      </c>
      <c r="L295" s="13" t="s">
        <v>704</v>
      </c>
      <c r="M295" s="159"/>
      <c r="N295" s="18"/>
    </row>
    <row r="296" spans="1:14" ht="114.75" customHeight="1">
      <c r="A296" s="54">
        <v>284</v>
      </c>
      <c r="B296" s="152" t="s">
        <v>259</v>
      </c>
      <c r="C296" s="119" t="s">
        <v>669</v>
      </c>
      <c r="D296" s="18"/>
      <c r="E296" s="150" t="s">
        <v>782</v>
      </c>
      <c r="F296" s="18"/>
      <c r="G296" s="13" t="s">
        <v>783</v>
      </c>
      <c r="H296" s="13" t="s">
        <v>263</v>
      </c>
      <c r="I296" s="13" t="s">
        <v>672</v>
      </c>
      <c r="J296" s="13" t="s">
        <v>673</v>
      </c>
      <c r="K296" s="13" t="s">
        <v>784</v>
      </c>
      <c r="L296" s="13" t="s">
        <v>785</v>
      </c>
      <c r="M296" s="159"/>
      <c r="N296" s="18"/>
    </row>
    <row r="297" spans="1:14" ht="120" customHeight="1">
      <c r="A297" s="54">
        <v>285</v>
      </c>
      <c r="B297" s="152" t="s">
        <v>259</v>
      </c>
      <c r="C297" s="119" t="s">
        <v>669</v>
      </c>
      <c r="D297" s="18"/>
      <c r="E297" s="150" t="s">
        <v>786</v>
      </c>
      <c r="F297" s="18"/>
      <c r="G297" s="13" t="s">
        <v>787</v>
      </c>
      <c r="H297" s="13" t="s">
        <v>263</v>
      </c>
      <c r="I297" s="13" t="s">
        <v>672</v>
      </c>
      <c r="J297" s="13" t="s">
        <v>673</v>
      </c>
      <c r="K297" s="13" t="s">
        <v>788</v>
      </c>
      <c r="L297" s="13" t="s">
        <v>789</v>
      </c>
      <c r="M297" s="159"/>
      <c r="N297" s="18"/>
    </row>
    <row r="298" spans="1:14" ht="122.25" customHeight="1">
      <c r="A298" s="54">
        <v>286</v>
      </c>
      <c r="B298" s="152" t="s">
        <v>259</v>
      </c>
      <c r="C298" s="119" t="s">
        <v>669</v>
      </c>
      <c r="D298" s="18"/>
      <c r="E298" s="150" t="s">
        <v>786</v>
      </c>
      <c r="F298" s="18"/>
      <c r="G298" s="13" t="s">
        <v>787</v>
      </c>
      <c r="H298" s="151" t="s">
        <v>268</v>
      </c>
      <c r="I298" s="13" t="s">
        <v>679</v>
      </c>
      <c r="J298" s="13" t="s">
        <v>680</v>
      </c>
      <c r="K298" s="13" t="s">
        <v>790</v>
      </c>
      <c r="L298" s="13" t="s">
        <v>785</v>
      </c>
      <c r="M298" s="159"/>
      <c r="N298" s="18"/>
    </row>
    <row r="299" spans="1:14" ht="117" customHeight="1">
      <c r="A299" s="54">
        <v>287</v>
      </c>
      <c r="B299" s="152" t="s">
        <v>259</v>
      </c>
      <c r="C299" s="119" t="s">
        <v>669</v>
      </c>
      <c r="D299" s="18"/>
      <c r="E299" s="150" t="s">
        <v>791</v>
      </c>
      <c r="F299" s="18"/>
      <c r="G299" s="13" t="s">
        <v>787</v>
      </c>
      <c r="H299" s="151" t="s">
        <v>268</v>
      </c>
      <c r="I299" s="13" t="s">
        <v>679</v>
      </c>
      <c r="J299" s="13" t="s">
        <v>680</v>
      </c>
      <c r="K299" s="13" t="s">
        <v>792</v>
      </c>
      <c r="L299" s="13" t="s">
        <v>793</v>
      </c>
      <c r="M299" s="159"/>
      <c r="N299" s="18"/>
    </row>
    <row r="300" spans="1:14" ht="114" customHeight="1">
      <c r="A300" s="54">
        <v>288</v>
      </c>
      <c r="B300" s="152" t="s">
        <v>259</v>
      </c>
      <c r="C300" s="119" t="s">
        <v>669</v>
      </c>
      <c r="D300" s="18"/>
      <c r="E300" s="150" t="s">
        <v>794</v>
      </c>
      <c r="F300" s="18"/>
      <c r="G300" s="13" t="s">
        <v>795</v>
      </c>
      <c r="H300" s="13" t="s">
        <v>263</v>
      </c>
      <c r="I300" s="13" t="s">
        <v>672</v>
      </c>
      <c r="J300" s="13" t="s">
        <v>673</v>
      </c>
      <c r="K300" s="13" t="s">
        <v>796</v>
      </c>
      <c r="L300" s="13" t="s">
        <v>762</v>
      </c>
      <c r="M300" s="159"/>
      <c r="N300" s="18"/>
    </row>
    <row r="301" spans="1:14" ht="114" customHeight="1">
      <c r="A301" s="54">
        <v>289</v>
      </c>
      <c r="B301" s="152" t="s">
        <v>259</v>
      </c>
      <c r="C301" s="119" t="s">
        <v>669</v>
      </c>
      <c r="D301" s="18"/>
      <c r="E301" s="150" t="s">
        <v>797</v>
      </c>
      <c r="F301" s="18"/>
      <c r="G301" s="13" t="s">
        <v>798</v>
      </c>
      <c r="H301" s="13" t="s">
        <v>263</v>
      </c>
      <c r="I301" s="13" t="s">
        <v>672</v>
      </c>
      <c r="J301" s="13" t="s">
        <v>673</v>
      </c>
      <c r="K301" s="13" t="s">
        <v>799</v>
      </c>
      <c r="L301" s="13" t="s">
        <v>766</v>
      </c>
      <c r="M301" s="159"/>
      <c r="N301" s="18"/>
    </row>
    <row r="302" spans="1:14" ht="115.5" customHeight="1">
      <c r="A302" s="54">
        <v>290</v>
      </c>
      <c r="B302" s="152" t="s">
        <v>259</v>
      </c>
      <c r="C302" s="119" t="s">
        <v>669</v>
      </c>
      <c r="D302" s="18"/>
      <c r="E302" s="150" t="s">
        <v>797</v>
      </c>
      <c r="F302" s="18"/>
      <c r="G302" s="13" t="s">
        <v>798</v>
      </c>
      <c r="H302" s="151" t="s">
        <v>268</v>
      </c>
      <c r="I302" s="13" t="s">
        <v>679</v>
      </c>
      <c r="J302" s="13" t="s">
        <v>680</v>
      </c>
      <c r="K302" s="13" t="s">
        <v>800</v>
      </c>
      <c r="L302" s="13" t="s">
        <v>762</v>
      </c>
      <c r="M302" s="159"/>
      <c r="N302" s="18"/>
    </row>
    <row r="303" spans="1:14" ht="116.25" customHeight="1">
      <c r="A303" s="54">
        <v>291</v>
      </c>
      <c r="B303" s="152" t="s">
        <v>259</v>
      </c>
      <c r="C303" s="119" t="s">
        <v>669</v>
      </c>
      <c r="D303" s="18"/>
      <c r="E303" s="150" t="s">
        <v>801</v>
      </c>
      <c r="F303" s="18"/>
      <c r="G303" s="13" t="s">
        <v>798</v>
      </c>
      <c r="H303" s="151" t="s">
        <v>268</v>
      </c>
      <c r="I303" s="13" t="s">
        <v>679</v>
      </c>
      <c r="J303" s="13" t="s">
        <v>680</v>
      </c>
      <c r="K303" s="13" t="s">
        <v>802</v>
      </c>
      <c r="L303" s="13" t="s">
        <v>766</v>
      </c>
      <c r="M303" s="159"/>
      <c r="N303" s="18"/>
    </row>
    <row r="304" spans="1:14" ht="111.75" customHeight="1">
      <c r="A304" s="54">
        <v>292</v>
      </c>
      <c r="B304" s="186" t="s">
        <v>259</v>
      </c>
      <c r="C304" s="55" t="s">
        <v>669</v>
      </c>
      <c r="D304" s="82"/>
      <c r="E304" s="150" t="s">
        <v>803</v>
      </c>
      <c r="F304" s="18"/>
      <c r="G304" s="13" t="s">
        <v>804</v>
      </c>
      <c r="H304" s="13" t="s">
        <v>263</v>
      </c>
      <c r="I304" s="13" t="s">
        <v>672</v>
      </c>
      <c r="J304" s="13" t="s">
        <v>673</v>
      </c>
      <c r="K304" s="13" t="s">
        <v>805</v>
      </c>
      <c r="L304" s="13" t="s">
        <v>762</v>
      </c>
      <c r="M304" s="188"/>
      <c r="N304" s="82"/>
    </row>
    <row r="305" spans="1:15" ht="112.5" customHeight="1">
      <c r="A305" s="54">
        <v>293</v>
      </c>
      <c r="B305" s="152" t="s">
        <v>259</v>
      </c>
      <c r="C305" s="119" t="s">
        <v>669</v>
      </c>
      <c r="D305" s="18"/>
      <c r="E305" s="150" t="s">
        <v>803</v>
      </c>
      <c r="F305" s="18"/>
      <c r="G305" s="13" t="s">
        <v>806</v>
      </c>
      <c r="H305" s="13" t="s">
        <v>263</v>
      </c>
      <c r="I305" s="13" t="s">
        <v>672</v>
      </c>
      <c r="J305" s="13" t="s">
        <v>673</v>
      </c>
      <c r="K305" s="13" t="s">
        <v>807</v>
      </c>
      <c r="L305" s="13" t="s">
        <v>766</v>
      </c>
      <c r="M305" s="159"/>
      <c r="N305" s="18"/>
      <c r="O305" s="38"/>
    </row>
    <row r="306" spans="1:15" ht="116.25" customHeight="1">
      <c r="A306" s="54">
        <v>294</v>
      </c>
      <c r="B306" s="186" t="s">
        <v>259</v>
      </c>
      <c r="C306" s="55" t="s">
        <v>669</v>
      </c>
      <c r="D306" s="18"/>
      <c r="E306" s="150" t="s">
        <v>803</v>
      </c>
      <c r="F306" s="18"/>
      <c r="G306" s="13" t="s">
        <v>806</v>
      </c>
      <c r="H306" s="151" t="s">
        <v>268</v>
      </c>
      <c r="I306" s="13" t="s">
        <v>679</v>
      </c>
      <c r="J306" s="13" t="s">
        <v>680</v>
      </c>
      <c r="K306" s="13" t="s">
        <v>808</v>
      </c>
      <c r="L306" s="13" t="s">
        <v>762</v>
      </c>
      <c r="M306" s="159"/>
      <c r="N306" s="18"/>
      <c r="O306" s="38"/>
    </row>
    <row r="307" spans="1:15" ht="119.25" customHeight="1">
      <c r="A307" s="54">
        <v>295</v>
      </c>
      <c r="B307" s="152" t="s">
        <v>259</v>
      </c>
      <c r="C307" s="119" t="s">
        <v>669</v>
      </c>
      <c r="D307" s="18"/>
      <c r="E307" s="150" t="s">
        <v>803</v>
      </c>
      <c r="F307" s="18"/>
      <c r="G307" s="13" t="s">
        <v>806</v>
      </c>
      <c r="H307" s="151" t="s">
        <v>268</v>
      </c>
      <c r="I307" s="13" t="s">
        <v>679</v>
      </c>
      <c r="J307" s="13" t="s">
        <v>680</v>
      </c>
      <c r="K307" s="13" t="s">
        <v>809</v>
      </c>
      <c r="L307" s="13" t="s">
        <v>766</v>
      </c>
      <c r="M307" s="159"/>
      <c r="N307" s="18"/>
      <c r="O307" s="189"/>
    </row>
    <row r="308" spans="1:15" ht="118.5" customHeight="1">
      <c r="A308" s="54">
        <v>296</v>
      </c>
      <c r="B308" s="186" t="s">
        <v>259</v>
      </c>
      <c r="C308" s="55" t="s">
        <v>669</v>
      </c>
      <c r="D308" s="18"/>
      <c r="E308" s="150" t="s">
        <v>810</v>
      </c>
      <c r="F308" s="18"/>
      <c r="G308" s="13" t="s">
        <v>811</v>
      </c>
      <c r="H308" s="13" t="s">
        <v>263</v>
      </c>
      <c r="I308" s="13" t="s">
        <v>672</v>
      </c>
      <c r="J308" s="13" t="s">
        <v>673</v>
      </c>
      <c r="K308" s="13" t="s">
        <v>812</v>
      </c>
      <c r="L308" s="13" t="s">
        <v>762</v>
      </c>
      <c r="M308" s="188"/>
      <c r="N308" s="18"/>
      <c r="O308" s="38"/>
    </row>
    <row r="309" spans="1:15" ht="119.25" customHeight="1">
      <c r="A309" s="54">
        <v>297</v>
      </c>
      <c r="B309" s="152" t="s">
        <v>259</v>
      </c>
      <c r="C309" s="119" t="s">
        <v>669</v>
      </c>
      <c r="D309" s="18"/>
      <c r="E309" s="150" t="s">
        <v>813</v>
      </c>
      <c r="F309" s="18"/>
      <c r="G309" s="13" t="s">
        <v>811</v>
      </c>
      <c r="H309" s="13" t="s">
        <v>263</v>
      </c>
      <c r="I309" s="13" t="s">
        <v>672</v>
      </c>
      <c r="J309" s="13" t="s">
        <v>673</v>
      </c>
      <c r="K309" s="13" t="s">
        <v>814</v>
      </c>
      <c r="L309" s="13" t="s">
        <v>766</v>
      </c>
      <c r="M309" s="159"/>
      <c r="N309" s="18"/>
      <c r="O309" s="38"/>
    </row>
    <row r="310" spans="1:15" ht="135.75" customHeight="1">
      <c r="A310" s="54">
        <v>298</v>
      </c>
      <c r="B310" s="186" t="s">
        <v>259</v>
      </c>
      <c r="C310" s="55" t="s">
        <v>669</v>
      </c>
      <c r="D310" s="18"/>
      <c r="E310" s="150" t="s">
        <v>815</v>
      </c>
      <c r="F310" s="18"/>
      <c r="G310" s="13" t="s">
        <v>811</v>
      </c>
      <c r="H310" s="151" t="s">
        <v>268</v>
      </c>
      <c r="I310" s="13" t="s">
        <v>679</v>
      </c>
      <c r="J310" s="13" t="s">
        <v>680</v>
      </c>
      <c r="K310" s="13" t="s">
        <v>816</v>
      </c>
      <c r="L310" s="13" t="s">
        <v>762</v>
      </c>
      <c r="M310" s="159"/>
      <c r="N310" s="18"/>
      <c r="O310" s="38"/>
    </row>
    <row r="311" spans="1:15" ht="124.5" customHeight="1">
      <c r="A311" s="54">
        <v>299</v>
      </c>
      <c r="B311" s="152" t="s">
        <v>259</v>
      </c>
      <c r="C311" s="119" t="s">
        <v>669</v>
      </c>
      <c r="D311" s="18"/>
      <c r="E311" s="150" t="s">
        <v>817</v>
      </c>
      <c r="F311" s="18"/>
      <c r="G311" s="13" t="s">
        <v>811</v>
      </c>
      <c r="H311" s="151" t="s">
        <v>268</v>
      </c>
      <c r="I311" s="13" t="s">
        <v>679</v>
      </c>
      <c r="J311" s="13" t="s">
        <v>680</v>
      </c>
      <c r="K311" s="13" t="s">
        <v>818</v>
      </c>
      <c r="L311" s="13" t="s">
        <v>766</v>
      </c>
      <c r="M311" s="159"/>
      <c r="N311" s="18"/>
      <c r="O311" s="38"/>
    </row>
    <row r="312" spans="1:15" ht="117.75" customHeight="1">
      <c r="A312" s="54">
        <v>300</v>
      </c>
      <c r="B312" s="186" t="s">
        <v>259</v>
      </c>
      <c r="C312" s="55" t="s">
        <v>669</v>
      </c>
      <c r="D312" s="18"/>
      <c r="E312" s="150" t="s">
        <v>819</v>
      </c>
      <c r="F312" s="18"/>
      <c r="G312" s="13" t="s">
        <v>820</v>
      </c>
      <c r="H312" s="13" t="s">
        <v>263</v>
      </c>
      <c r="I312" s="13" t="s">
        <v>672</v>
      </c>
      <c r="J312" s="13" t="s">
        <v>673</v>
      </c>
      <c r="K312" s="13" t="s">
        <v>821</v>
      </c>
      <c r="L312" s="13" t="s">
        <v>762</v>
      </c>
      <c r="M312" s="159"/>
      <c r="N312" s="18"/>
      <c r="O312" s="38"/>
    </row>
    <row r="313" spans="1:15" ht="111.75" customHeight="1">
      <c r="A313" s="54">
        <v>301</v>
      </c>
      <c r="B313" s="152" t="s">
        <v>259</v>
      </c>
      <c r="C313" s="119" t="s">
        <v>669</v>
      </c>
      <c r="D313" s="18"/>
      <c r="E313" s="150" t="s">
        <v>822</v>
      </c>
      <c r="F313" s="18"/>
      <c r="G313" s="13" t="s">
        <v>820</v>
      </c>
      <c r="H313" s="13" t="s">
        <v>263</v>
      </c>
      <c r="I313" s="13" t="s">
        <v>672</v>
      </c>
      <c r="J313" s="13" t="s">
        <v>673</v>
      </c>
      <c r="K313" s="13" t="s">
        <v>823</v>
      </c>
      <c r="L313" s="13" t="s">
        <v>766</v>
      </c>
      <c r="M313" s="159"/>
      <c r="N313" s="18"/>
      <c r="O313" s="38"/>
    </row>
    <row r="314" spans="1:15" ht="118.5" customHeight="1">
      <c r="A314" s="54">
        <v>302</v>
      </c>
      <c r="B314" s="186" t="s">
        <v>259</v>
      </c>
      <c r="C314" s="55" t="s">
        <v>669</v>
      </c>
      <c r="D314" s="18"/>
      <c r="E314" s="150" t="s">
        <v>824</v>
      </c>
      <c r="F314" s="18"/>
      <c r="G314" s="13" t="s">
        <v>820</v>
      </c>
      <c r="H314" s="151" t="s">
        <v>268</v>
      </c>
      <c r="I314" s="13" t="s">
        <v>679</v>
      </c>
      <c r="J314" s="13" t="s">
        <v>680</v>
      </c>
      <c r="K314" s="13" t="s">
        <v>825</v>
      </c>
      <c r="L314" s="13" t="s">
        <v>762</v>
      </c>
      <c r="M314" s="159"/>
      <c r="N314" s="18"/>
      <c r="O314" s="38"/>
    </row>
    <row r="315" spans="1:15" ht="114.75" customHeight="1">
      <c r="A315" s="54">
        <v>303</v>
      </c>
      <c r="B315" s="152" t="s">
        <v>259</v>
      </c>
      <c r="C315" s="119" t="s">
        <v>669</v>
      </c>
      <c r="D315" s="18"/>
      <c r="E315" s="150" t="s">
        <v>826</v>
      </c>
      <c r="F315" s="18"/>
      <c r="G315" s="13" t="s">
        <v>820</v>
      </c>
      <c r="H315" s="151" t="s">
        <v>268</v>
      </c>
      <c r="I315" s="13" t="s">
        <v>679</v>
      </c>
      <c r="J315" s="13" t="s">
        <v>680</v>
      </c>
      <c r="K315" s="13" t="s">
        <v>827</v>
      </c>
      <c r="L315" s="13" t="s">
        <v>766</v>
      </c>
      <c r="M315" s="159"/>
      <c r="N315" s="18"/>
      <c r="O315" s="38"/>
    </row>
    <row r="316" spans="1:15" ht="114" customHeight="1">
      <c r="A316" s="54">
        <v>304</v>
      </c>
      <c r="B316" s="152" t="s">
        <v>259</v>
      </c>
      <c r="C316" s="119" t="s">
        <v>669</v>
      </c>
      <c r="D316" s="18"/>
      <c r="E316" s="150" t="s">
        <v>828</v>
      </c>
      <c r="F316" s="18"/>
      <c r="G316" s="13" t="s">
        <v>829</v>
      </c>
      <c r="H316" s="13" t="s">
        <v>263</v>
      </c>
      <c r="I316" s="13" t="s">
        <v>672</v>
      </c>
      <c r="J316" s="13" t="s">
        <v>673</v>
      </c>
      <c r="K316" s="13" t="s">
        <v>674</v>
      </c>
      <c r="L316" s="13" t="s">
        <v>762</v>
      </c>
      <c r="M316" s="159"/>
      <c r="N316" s="18"/>
      <c r="O316" s="38"/>
    </row>
    <row r="317" spans="1:15" ht="115.5" customHeight="1">
      <c r="A317" s="54">
        <v>305</v>
      </c>
      <c r="B317" s="186" t="s">
        <v>259</v>
      </c>
      <c r="C317" s="55" t="s">
        <v>669</v>
      </c>
      <c r="D317" s="18"/>
      <c r="E317" s="150" t="s">
        <v>830</v>
      </c>
      <c r="F317" s="18"/>
      <c r="G317" s="13" t="s">
        <v>829</v>
      </c>
      <c r="H317" s="13" t="s">
        <v>263</v>
      </c>
      <c r="I317" s="13" t="s">
        <v>672</v>
      </c>
      <c r="J317" s="13" t="s">
        <v>673</v>
      </c>
      <c r="K317" s="13" t="s">
        <v>677</v>
      </c>
      <c r="L317" s="13" t="s">
        <v>766</v>
      </c>
      <c r="M317" s="159"/>
      <c r="N317" s="18"/>
      <c r="O317" s="38"/>
    </row>
    <row r="318" spans="1:15" ht="115.5" customHeight="1">
      <c r="A318" s="54">
        <v>306</v>
      </c>
      <c r="B318" s="152" t="s">
        <v>259</v>
      </c>
      <c r="C318" s="119" t="s">
        <v>669</v>
      </c>
      <c r="D318" s="18"/>
      <c r="E318" s="150" t="s">
        <v>831</v>
      </c>
      <c r="F318" s="18"/>
      <c r="G318" s="13" t="s">
        <v>829</v>
      </c>
      <c r="H318" s="151" t="s">
        <v>268</v>
      </c>
      <c r="I318" s="13" t="s">
        <v>679</v>
      </c>
      <c r="J318" s="13" t="s">
        <v>680</v>
      </c>
      <c r="K318" s="13" t="s">
        <v>832</v>
      </c>
      <c r="L318" s="13" t="s">
        <v>762</v>
      </c>
      <c r="M318" s="159"/>
      <c r="N318" s="18"/>
      <c r="O318" s="38"/>
    </row>
    <row r="319" spans="1:15" ht="113.25" customHeight="1">
      <c r="A319" s="54">
        <v>307</v>
      </c>
      <c r="B319" s="186" t="s">
        <v>259</v>
      </c>
      <c r="C319" s="55" t="s">
        <v>669</v>
      </c>
      <c r="D319" s="18"/>
      <c r="E319" s="150" t="s">
        <v>830</v>
      </c>
      <c r="F319" s="18"/>
      <c r="G319" s="13" t="s">
        <v>829</v>
      </c>
      <c r="H319" s="151" t="s">
        <v>268</v>
      </c>
      <c r="I319" s="13" t="s">
        <v>679</v>
      </c>
      <c r="J319" s="13" t="s">
        <v>680</v>
      </c>
      <c r="K319" s="13" t="s">
        <v>684</v>
      </c>
      <c r="L319" s="13" t="s">
        <v>766</v>
      </c>
      <c r="M319" s="159"/>
      <c r="N319" s="18"/>
      <c r="O319" s="38"/>
    </row>
    <row r="320" spans="1:15" ht="116.25" customHeight="1">
      <c r="A320" s="54">
        <v>308</v>
      </c>
      <c r="B320" s="152" t="s">
        <v>259</v>
      </c>
      <c r="C320" s="119" t="s">
        <v>669</v>
      </c>
      <c r="D320" s="18"/>
      <c r="E320" s="150" t="s">
        <v>833</v>
      </c>
      <c r="F320" s="18"/>
      <c r="G320" s="13" t="s">
        <v>834</v>
      </c>
      <c r="H320" s="13" t="s">
        <v>263</v>
      </c>
      <c r="I320" s="13" t="s">
        <v>672</v>
      </c>
      <c r="J320" s="13" t="s">
        <v>673</v>
      </c>
      <c r="K320" s="13" t="s">
        <v>835</v>
      </c>
      <c r="L320" s="13" t="s">
        <v>836</v>
      </c>
      <c r="M320" s="159"/>
      <c r="N320" s="18"/>
      <c r="O320" s="38"/>
    </row>
    <row r="321" spans="1:15" ht="109.5" customHeight="1">
      <c r="A321" s="54">
        <v>309</v>
      </c>
      <c r="B321" s="186" t="s">
        <v>259</v>
      </c>
      <c r="C321" s="55" t="s">
        <v>669</v>
      </c>
      <c r="D321" s="18"/>
      <c r="E321" s="150" t="s">
        <v>837</v>
      </c>
      <c r="F321" s="18"/>
      <c r="G321" s="13" t="s">
        <v>838</v>
      </c>
      <c r="H321" s="13" t="s">
        <v>263</v>
      </c>
      <c r="I321" s="13" t="s">
        <v>672</v>
      </c>
      <c r="J321" s="13" t="s">
        <v>673</v>
      </c>
      <c r="K321" s="13" t="s">
        <v>839</v>
      </c>
      <c r="L321" s="13" t="s">
        <v>840</v>
      </c>
      <c r="M321" s="159"/>
      <c r="N321" s="18"/>
      <c r="O321" s="38"/>
    </row>
    <row r="322" spans="1:15" ht="114" customHeight="1">
      <c r="A322" s="54">
        <v>310</v>
      </c>
      <c r="B322" s="152" t="s">
        <v>259</v>
      </c>
      <c r="C322" s="119" t="s">
        <v>669</v>
      </c>
      <c r="D322" s="18"/>
      <c r="E322" s="150" t="s">
        <v>841</v>
      </c>
      <c r="F322" s="18"/>
      <c r="G322" s="13" t="s">
        <v>834</v>
      </c>
      <c r="H322" s="151" t="s">
        <v>268</v>
      </c>
      <c r="I322" s="13" t="s">
        <v>679</v>
      </c>
      <c r="J322" s="13" t="s">
        <v>680</v>
      </c>
      <c r="K322" s="13" t="s">
        <v>842</v>
      </c>
      <c r="L322" s="13" t="s">
        <v>843</v>
      </c>
      <c r="M322" s="159"/>
      <c r="N322" s="18"/>
      <c r="O322" s="38"/>
    </row>
    <row r="323" spans="1:15" ht="117.75" customHeight="1">
      <c r="A323" s="54">
        <v>311</v>
      </c>
      <c r="B323" s="186" t="s">
        <v>259</v>
      </c>
      <c r="C323" s="55" t="s">
        <v>669</v>
      </c>
      <c r="D323" s="18"/>
      <c r="E323" s="150" t="s">
        <v>844</v>
      </c>
      <c r="F323" s="18"/>
      <c r="G323" s="13" t="s">
        <v>834</v>
      </c>
      <c r="H323" s="151" t="s">
        <v>268</v>
      </c>
      <c r="I323" s="13" t="s">
        <v>679</v>
      </c>
      <c r="J323" s="13" t="s">
        <v>680</v>
      </c>
      <c r="K323" s="13" t="s">
        <v>845</v>
      </c>
      <c r="L323" s="13" t="s">
        <v>840</v>
      </c>
      <c r="M323" s="159"/>
      <c r="N323" s="18"/>
      <c r="O323" s="38"/>
    </row>
    <row r="324" spans="1:15" ht="114" customHeight="1">
      <c r="A324" s="54">
        <v>312</v>
      </c>
      <c r="B324" s="152" t="s">
        <v>259</v>
      </c>
      <c r="C324" s="119" t="s">
        <v>669</v>
      </c>
      <c r="D324" s="18"/>
      <c r="E324" s="150" t="s">
        <v>846</v>
      </c>
      <c r="F324" s="18"/>
      <c r="G324" s="13" t="s">
        <v>847</v>
      </c>
      <c r="H324" s="13" t="s">
        <v>263</v>
      </c>
      <c r="I324" s="13" t="s">
        <v>672</v>
      </c>
      <c r="J324" s="13" t="s">
        <v>673</v>
      </c>
      <c r="K324" s="13" t="s">
        <v>848</v>
      </c>
      <c r="L324" s="13" t="s">
        <v>762</v>
      </c>
      <c r="M324" s="159"/>
      <c r="N324" s="18"/>
      <c r="O324" s="38"/>
    </row>
    <row r="325" spans="1:15" ht="111" customHeight="1">
      <c r="A325" s="54">
        <v>313</v>
      </c>
      <c r="B325" s="186" t="s">
        <v>259</v>
      </c>
      <c r="C325" s="55" t="s">
        <v>669</v>
      </c>
      <c r="D325" s="18"/>
      <c r="E325" s="150" t="s">
        <v>849</v>
      </c>
      <c r="F325" s="18"/>
      <c r="G325" s="13" t="s">
        <v>850</v>
      </c>
      <c r="H325" s="13" t="s">
        <v>263</v>
      </c>
      <c r="I325" s="13" t="s">
        <v>672</v>
      </c>
      <c r="J325" s="13" t="s">
        <v>673</v>
      </c>
      <c r="K325" s="13" t="s">
        <v>851</v>
      </c>
      <c r="L325" s="13" t="s">
        <v>766</v>
      </c>
      <c r="M325" s="159"/>
      <c r="N325" s="18"/>
      <c r="O325" s="38"/>
    </row>
    <row r="326" spans="1:15" ht="112.5" customHeight="1">
      <c r="A326" s="54">
        <v>314</v>
      </c>
      <c r="B326" s="152" t="s">
        <v>259</v>
      </c>
      <c r="C326" s="119" t="s">
        <v>669</v>
      </c>
      <c r="D326" s="18"/>
      <c r="E326" s="150" t="s">
        <v>852</v>
      </c>
      <c r="F326" s="18"/>
      <c r="G326" s="13" t="s">
        <v>853</v>
      </c>
      <c r="H326" s="151" t="s">
        <v>268</v>
      </c>
      <c r="I326" s="13" t="s">
        <v>679</v>
      </c>
      <c r="J326" s="13" t="s">
        <v>680</v>
      </c>
      <c r="K326" s="13" t="s">
        <v>854</v>
      </c>
      <c r="L326" s="13" t="s">
        <v>762</v>
      </c>
      <c r="M326" s="159"/>
      <c r="N326" s="18"/>
      <c r="O326" s="38"/>
    </row>
    <row r="327" spans="1:15" ht="114.75" customHeight="1">
      <c r="A327" s="54">
        <v>315</v>
      </c>
      <c r="B327" s="186" t="s">
        <v>259</v>
      </c>
      <c r="C327" s="55" t="s">
        <v>669</v>
      </c>
      <c r="D327" s="18"/>
      <c r="E327" s="150" t="s">
        <v>855</v>
      </c>
      <c r="F327" s="18"/>
      <c r="G327" s="13" t="s">
        <v>853</v>
      </c>
      <c r="H327" s="151" t="s">
        <v>268</v>
      </c>
      <c r="I327" s="13" t="s">
        <v>679</v>
      </c>
      <c r="J327" s="13" t="s">
        <v>680</v>
      </c>
      <c r="K327" s="13" t="s">
        <v>856</v>
      </c>
      <c r="L327" s="13" t="s">
        <v>766</v>
      </c>
      <c r="M327" s="159"/>
      <c r="N327" s="18"/>
      <c r="O327" s="38"/>
    </row>
    <row r="328" spans="1:15" ht="119.25" customHeight="1">
      <c r="A328" s="54">
        <v>316</v>
      </c>
      <c r="B328" s="152" t="s">
        <v>259</v>
      </c>
      <c r="C328" s="119" t="s">
        <v>669</v>
      </c>
      <c r="D328" s="18"/>
      <c r="E328" s="150" t="s">
        <v>857</v>
      </c>
      <c r="F328" s="18"/>
      <c r="G328" s="13" t="s">
        <v>858</v>
      </c>
      <c r="H328" s="13" t="s">
        <v>263</v>
      </c>
      <c r="I328" s="13" t="s">
        <v>672</v>
      </c>
      <c r="J328" s="13" t="s">
        <v>673</v>
      </c>
      <c r="K328" s="13" t="s">
        <v>859</v>
      </c>
      <c r="L328" s="13" t="s">
        <v>701</v>
      </c>
      <c r="M328" s="159"/>
      <c r="N328" s="18"/>
      <c r="O328" s="38"/>
    </row>
    <row r="329" spans="1:15" ht="114.75" customHeight="1">
      <c r="A329" s="54">
        <v>317</v>
      </c>
      <c r="B329" s="152" t="s">
        <v>259</v>
      </c>
      <c r="C329" s="119" t="s">
        <v>669</v>
      </c>
      <c r="D329" s="18"/>
      <c r="E329" s="150" t="s">
        <v>860</v>
      </c>
      <c r="F329" s="18"/>
      <c r="G329" s="13" t="s">
        <v>861</v>
      </c>
      <c r="H329" s="13" t="s">
        <v>263</v>
      </c>
      <c r="I329" s="13" t="s">
        <v>672</v>
      </c>
      <c r="J329" s="13" t="s">
        <v>673</v>
      </c>
      <c r="K329" s="13" t="s">
        <v>862</v>
      </c>
      <c r="L329" s="13" t="s">
        <v>704</v>
      </c>
      <c r="M329" s="159"/>
      <c r="N329" s="18"/>
      <c r="O329" s="38"/>
    </row>
    <row r="330" spans="1:15" ht="108" customHeight="1">
      <c r="A330" s="54">
        <v>318</v>
      </c>
      <c r="B330" s="186" t="s">
        <v>259</v>
      </c>
      <c r="C330" s="55" t="s">
        <v>669</v>
      </c>
      <c r="D330" s="18"/>
      <c r="E330" s="150" t="s">
        <v>863</v>
      </c>
      <c r="F330" s="18"/>
      <c r="G330" s="13" t="s">
        <v>858</v>
      </c>
      <c r="H330" s="151" t="s">
        <v>268</v>
      </c>
      <c r="I330" s="13" t="s">
        <v>679</v>
      </c>
      <c r="J330" s="13" t="s">
        <v>680</v>
      </c>
      <c r="K330" s="13" t="s">
        <v>864</v>
      </c>
      <c r="L330" s="13" t="s">
        <v>701</v>
      </c>
      <c r="M330" s="159"/>
      <c r="N330" s="18"/>
      <c r="O330" s="38"/>
    </row>
    <row r="331" spans="1:15" ht="117" customHeight="1">
      <c r="A331" s="54">
        <v>319</v>
      </c>
      <c r="B331" s="152" t="s">
        <v>259</v>
      </c>
      <c r="C331" s="119" t="s">
        <v>669</v>
      </c>
      <c r="D331" s="18"/>
      <c r="E331" s="150" t="s">
        <v>865</v>
      </c>
      <c r="F331" s="18"/>
      <c r="G331" s="13" t="s">
        <v>858</v>
      </c>
      <c r="H331" s="151" t="s">
        <v>268</v>
      </c>
      <c r="I331" s="13" t="s">
        <v>679</v>
      </c>
      <c r="J331" s="13" t="s">
        <v>680</v>
      </c>
      <c r="K331" s="13" t="s">
        <v>866</v>
      </c>
      <c r="L331" s="13" t="s">
        <v>704</v>
      </c>
      <c r="M331" s="159"/>
      <c r="N331" s="18"/>
      <c r="O331" s="38"/>
    </row>
    <row r="332" spans="1:15" ht="146.25">
      <c r="A332" s="54">
        <v>320</v>
      </c>
      <c r="B332" s="186" t="s">
        <v>259</v>
      </c>
      <c r="C332" s="55" t="s">
        <v>669</v>
      </c>
      <c r="D332" s="18"/>
      <c r="E332" s="150" t="s">
        <v>867</v>
      </c>
      <c r="F332" s="18"/>
      <c r="G332" s="13" t="s">
        <v>868</v>
      </c>
      <c r="H332" s="13" t="s">
        <v>263</v>
      </c>
      <c r="I332" s="13" t="s">
        <v>672</v>
      </c>
      <c r="J332" s="13" t="s">
        <v>673</v>
      </c>
      <c r="K332" s="13" t="s">
        <v>869</v>
      </c>
      <c r="L332" s="13" t="s">
        <v>701</v>
      </c>
      <c r="M332" s="159"/>
      <c r="N332" s="18"/>
      <c r="O332" s="38"/>
    </row>
    <row r="333" spans="1:15" ht="146.25">
      <c r="A333" s="54">
        <v>321</v>
      </c>
      <c r="B333" s="152" t="s">
        <v>259</v>
      </c>
      <c r="C333" s="119" t="s">
        <v>669</v>
      </c>
      <c r="D333" s="18"/>
      <c r="E333" s="150" t="s">
        <v>870</v>
      </c>
      <c r="F333" s="18"/>
      <c r="G333" s="13" t="s">
        <v>871</v>
      </c>
      <c r="H333" s="13" t="s">
        <v>263</v>
      </c>
      <c r="I333" s="13" t="s">
        <v>672</v>
      </c>
      <c r="J333" s="13" t="s">
        <v>673</v>
      </c>
      <c r="K333" s="13" t="s">
        <v>872</v>
      </c>
      <c r="L333" s="13" t="s">
        <v>704</v>
      </c>
      <c r="M333" s="159"/>
      <c r="N333" s="18"/>
      <c r="O333" s="38"/>
    </row>
    <row r="334" spans="1:15" ht="113.25">
      <c r="A334" s="54">
        <v>322</v>
      </c>
      <c r="B334" s="186" t="s">
        <v>259</v>
      </c>
      <c r="C334" s="55" t="s">
        <v>669</v>
      </c>
      <c r="D334" s="18"/>
      <c r="E334" s="150" t="s">
        <v>873</v>
      </c>
      <c r="F334" s="18"/>
      <c r="G334" s="13" t="s">
        <v>868</v>
      </c>
      <c r="H334" s="151" t="s">
        <v>268</v>
      </c>
      <c r="I334" s="13" t="s">
        <v>679</v>
      </c>
      <c r="J334" s="13" t="s">
        <v>680</v>
      </c>
      <c r="K334" s="13" t="s">
        <v>874</v>
      </c>
      <c r="L334" s="13" t="s">
        <v>701</v>
      </c>
      <c r="M334" s="159"/>
      <c r="N334" s="18"/>
      <c r="O334" s="38"/>
    </row>
    <row r="335" spans="1:15" ht="113.25">
      <c r="A335" s="54">
        <v>323</v>
      </c>
      <c r="B335" s="152" t="s">
        <v>259</v>
      </c>
      <c r="C335" s="119" t="s">
        <v>669</v>
      </c>
      <c r="D335" s="18"/>
      <c r="E335" s="150" t="s">
        <v>875</v>
      </c>
      <c r="F335" s="18"/>
      <c r="G335" s="13" t="s">
        <v>868</v>
      </c>
      <c r="H335" s="151" t="s">
        <v>268</v>
      </c>
      <c r="I335" s="13" t="s">
        <v>679</v>
      </c>
      <c r="J335" s="13" t="s">
        <v>680</v>
      </c>
      <c r="K335" s="13" t="s">
        <v>876</v>
      </c>
      <c r="L335" s="13" t="s">
        <v>704</v>
      </c>
      <c r="M335" s="159"/>
      <c r="N335" s="18"/>
      <c r="O335" s="38"/>
    </row>
    <row r="336" spans="1:15" ht="108" customHeight="1">
      <c r="A336" s="54">
        <v>324</v>
      </c>
      <c r="B336" s="186" t="s">
        <v>259</v>
      </c>
      <c r="C336" s="55" t="s">
        <v>669</v>
      </c>
      <c r="D336" s="18"/>
      <c r="E336" s="150" t="s">
        <v>877</v>
      </c>
      <c r="F336" s="18"/>
      <c r="G336" s="13" t="s">
        <v>878</v>
      </c>
      <c r="H336" s="13" t="s">
        <v>263</v>
      </c>
      <c r="I336" s="13" t="s">
        <v>672</v>
      </c>
      <c r="J336" s="13" t="s">
        <v>673</v>
      </c>
      <c r="K336" s="13" t="s">
        <v>879</v>
      </c>
      <c r="L336" s="13" t="s">
        <v>701</v>
      </c>
      <c r="M336" s="159"/>
      <c r="N336" s="18"/>
      <c r="O336" s="38"/>
    </row>
    <row r="337" spans="1:15" ht="100.5" customHeight="1">
      <c r="A337" s="54">
        <v>325</v>
      </c>
      <c r="B337" s="152" t="s">
        <v>259</v>
      </c>
      <c r="C337" s="119" t="s">
        <v>669</v>
      </c>
      <c r="D337" s="18"/>
      <c r="E337" s="150" t="s">
        <v>880</v>
      </c>
      <c r="F337" s="18"/>
      <c r="G337" s="13" t="s">
        <v>881</v>
      </c>
      <c r="H337" s="13" t="s">
        <v>263</v>
      </c>
      <c r="I337" s="13" t="s">
        <v>672</v>
      </c>
      <c r="J337" s="13" t="s">
        <v>673</v>
      </c>
      <c r="K337" s="13" t="s">
        <v>882</v>
      </c>
      <c r="L337" s="13" t="s">
        <v>704</v>
      </c>
      <c r="M337" s="159"/>
      <c r="N337" s="18"/>
      <c r="O337" s="38"/>
    </row>
    <row r="338" spans="1:15" ht="108" customHeight="1">
      <c r="A338" s="54">
        <v>326</v>
      </c>
      <c r="B338" s="186" t="s">
        <v>259</v>
      </c>
      <c r="C338" s="55" t="s">
        <v>669</v>
      </c>
      <c r="D338" s="18"/>
      <c r="E338" s="150" t="s">
        <v>883</v>
      </c>
      <c r="F338" s="18"/>
      <c r="G338" s="13" t="s">
        <v>878</v>
      </c>
      <c r="H338" s="151" t="s">
        <v>268</v>
      </c>
      <c r="I338" s="13" t="s">
        <v>679</v>
      </c>
      <c r="J338" s="13" t="s">
        <v>680</v>
      </c>
      <c r="K338" s="13" t="s">
        <v>884</v>
      </c>
      <c r="L338" s="13" t="s">
        <v>701</v>
      </c>
      <c r="M338" s="159"/>
      <c r="N338" s="18"/>
      <c r="O338" s="38"/>
    </row>
    <row r="339" spans="1:15" ht="111.75" customHeight="1">
      <c r="A339" s="54">
        <v>327</v>
      </c>
      <c r="B339" s="152" t="s">
        <v>259</v>
      </c>
      <c r="C339" s="119" t="s">
        <v>669</v>
      </c>
      <c r="D339" s="18"/>
      <c r="E339" s="150" t="s">
        <v>885</v>
      </c>
      <c r="F339" s="18"/>
      <c r="G339" s="13" t="s">
        <v>878</v>
      </c>
      <c r="H339" s="151" t="s">
        <v>268</v>
      </c>
      <c r="I339" s="13" t="s">
        <v>679</v>
      </c>
      <c r="J339" s="13" t="s">
        <v>680</v>
      </c>
      <c r="K339" s="13" t="s">
        <v>886</v>
      </c>
      <c r="L339" s="13" t="s">
        <v>704</v>
      </c>
      <c r="M339" s="159"/>
      <c r="N339" s="18"/>
      <c r="O339" s="38"/>
    </row>
    <row r="340" spans="1:15" ht="113.25" customHeight="1">
      <c r="A340" s="54">
        <v>328</v>
      </c>
      <c r="B340" s="186" t="s">
        <v>259</v>
      </c>
      <c r="C340" s="55" t="s">
        <v>669</v>
      </c>
      <c r="D340" s="18"/>
      <c r="E340" s="150" t="s">
        <v>887</v>
      </c>
      <c r="F340" s="18"/>
      <c r="G340" s="13" t="s">
        <v>888</v>
      </c>
      <c r="H340" s="13" t="s">
        <v>263</v>
      </c>
      <c r="I340" s="13" t="s">
        <v>672</v>
      </c>
      <c r="J340" s="13" t="s">
        <v>673</v>
      </c>
      <c r="K340" s="13" t="s">
        <v>889</v>
      </c>
      <c r="L340" s="13" t="s">
        <v>701</v>
      </c>
      <c r="M340" s="159"/>
      <c r="N340" s="18"/>
      <c r="O340" s="38"/>
    </row>
    <row r="341" spans="1:15" ht="120" customHeight="1">
      <c r="A341" s="54">
        <v>329</v>
      </c>
      <c r="B341" s="152" t="s">
        <v>259</v>
      </c>
      <c r="C341" s="119" t="s">
        <v>669</v>
      </c>
      <c r="D341" s="18"/>
      <c r="E341" s="150" t="s">
        <v>890</v>
      </c>
      <c r="F341" s="18"/>
      <c r="G341" s="13" t="s">
        <v>891</v>
      </c>
      <c r="H341" s="13" t="s">
        <v>263</v>
      </c>
      <c r="I341" s="13" t="s">
        <v>672</v>
      </c>
      <c r="J341" s="13" t="s">
        <v>673</v>
      </c>
      <c r="K341" s="13" t="s">
        <v>892</v>
      </c>
      <c r="L341" s="13" t="s">
        <v>704</v>
      </c>
      <c r="M341" s="159"/>
      <c r="N341" s="18"/>
      <c r="O341" s="38"/>
    </row>
    <row r="342" spans="1:15" ht="115.5" customHeight="1">
      <c r="A342" s="54">
        <v>330</v>
      </c>
      <c r="B342" s="152" t="s">
        <v>259</v>
      </c>
      <c r="C342" s="119" t="s">
        <v>669</v>
      </c>
      <c r="D342" s="18"/>
      <c r="E342" s="150" t="s">
        <v>893</v>
      </c>
      <c r="F342" s="18"/>
      <c r="G342" s="13" t="s">
        <v>888</v>
      </c>
      <c r="H342" s="151" t="s">
        <v>268</v>
      </c>
      <c r="I342" s="13" t="s">
        <v>679</v>
      </c>
      <c r="J342" s="13" t="s">
        <v>680</v>
      </c>
      <c r="K342" s="13" t="s">
        <v>894</v>
      </c>
      <c r="L342" s="13" t="s">
        <v>701</v>
      </c>
      <c r="M342" s="159"/>
      <c r="N342" s="18"/>
      <c r="O342" s="38"/>
    </row>
    <row r="343" spans="1:15" ht="108.75" customHeight="1">
      <c r="A343" s="54">
        <v>331</v>
      </c>
      <c r="B343" s="186" t="s">
        <v>259</v>
      </c>
      <c r="C343" s="55" t="s">
        <v>669</v>
      </c>
      <c r="D343" s="18"/>
      <c r="E343" s="150" t="s">
        <v>895</v>
      </c>
      <c r="F343" s="18"/>
      <c r="G343" s="13" t="s">
        <v>888</v>
      </c>
      <c r="H343" s="151" t="s">
        <v>268</v>
      </c>
      <c r="I343" s="13" t="s">
        <v>679</v>
      </c>
      <c r="J343" s="13" t="s">
        <v>680</v>
      </c>
      <c r="K343" s="13" t="s">
        <v>896</v>
      </c>
      <c r="L343" s="13" t="s">
        <v>704</v>
      </c>
      <c r="M343" s="159"/>
      <c r="N343" s="18"/>
      <c r="O343" s="38"/>
    </row>
    <row r="344" spans="1:15" ht="114" customHeight="1">
      <c r="A344" s="54">
        <v>332</v>
      </c>
      <c r="B344" s="152" t="s">
        <v>259</v>
      </c>
      <c r="C344" s="119" t="s">
        <v>669</v>
      </c>
      <c r="D344" s="18"/>
      <c r="E344" s="150" t="s">
        <v>897</v>
      </c>
      <c r="F344" s="18"/>
      <c r="G344" s="13" t="s">
        <v>898</v>
      </c>
      <c r="H344" s="13" t="s">
        <v>263</v>
      </c>
      <c r="I344" s="13" t="s">
        <v>672</v>
      </c>
      <c r="J344" s="13" t="s">
        <v>673</v>
      </c>
      <c r="K344" s="13" t="s">
        <v>899</v>
      </c>
      <c r="L344" s="13" t="s">
        <v>701</v>
      </c>
      <c r="M344" s="159"/>
      <c r="N344" s="18"/>
      <c r="O344" s="38"/>
    </row>
    <row r="345" spans="1:15" ht="115.5" customHeight="1">
      <c r="A345" s="54">
        <v>333</v>
      </c>
      <c r="B345" s="186" t="s">
        <v>259</v>
      </c>
      <c r="C345" s="55" t="s">
        <v>669</v>
      </c>
      <c r="D345" s="18"/>
      <c r="E345" s="150" t="s">
        <v>900</v>
      </c>
      <c r="F345" s="18"/>
      <c r="G345" s="13" t="s">
        <v>901</v>
      </c>
      <c r="H345" s="13" t="s">
        <v>263</v>
      </c>
      <c r="I345" s="13" t="s">
        <v>672</v>
      </c>
      <c r="J345" s="13" t="s">
        <v>673</v>
      </c>
      <c r="K345" s="13" t="s">
        <v>902</v>
      </c>
      <c r="L345" s="13" t="s">
        <v>704</v>
      </c>
      <c r="M345" s="159"/>
      <c r="N345" s="18"/>
      <c r="O345" s="38"/>
    </row>
    <row r="346" spans="1:15" ht="109.5" customHeight="1">
      <c r="A346" s="54">
        <v>334</v>
      </c>
      <c r="B346" s="152" t="s">
        <v>259</v>
      </c>
      <c r="C346" s="119" t="s">
        <v>669</v>
      </c>
      <c r="D346" s="18"/>
      <c r="E346" s="150" t="s">
        <v>903</v>
      </c>
      <c r="F346" s="18"/>
      <c r="G346" s="13" t="s">
        <v>898</v>
      </c>
      <c r="H346" s="151" t="s">
        <v>268</v>
      </c>
      <c r="I346" s="13" t="s">
        <v>679</v>
      </c>
      <c r="J346" s="13" t="s">
        <v>680</v>
      </c>
      <c r="K346" s="13" t="s">
        <v>904</v>
      </c>
      <c r="L346" s="13" t="s">
        <v>701</v>
      </c>
      <c r="M346" s="159"/>
      <c r="N346" s="18"/>
      <c r="O346" s="38"/>
    </row>
    <row r="347" spans="1:15" ht="117.75" customHeight="1">
      <c r="A347" s="54">
        <v>335</v>
      </c>
      <c r="B347" s="186" t="s">
        <v>259</v>
      </c>
      <c r="C347" s="55" t="s">
        <v>669</v>
      </c>
      <c r="D347" s="18"/>
      <c r="E347" s="150" t="s">
        <v>905</v>
      </c>
      <c r="F347" s="18"/>
      <c r="G347" s="13" t="s">
        <v>906</v>
      </c>
      <c r="H347" s="151" t="s">
        <v>268</v>
      </c>
      <c r="I347" s="13" t="s">
        <v>679</v>
      </c>
      <c r="J347" s="13" t="s">
        <v>680</v>
      </c>
      <c r="K347" s="13" t="s">
        <v>907</v>
      </c>
      <c r="L347" s="13" t="s">
        <v>704</v>
      </c>
      <c r="M347" s="159"/>
      <c r="N347" s="18"/>
      <c r="O347" s="38"/>
    </row>
    <row r="348" spans="1:15" ht="110.25" customHeight="1">
      <c r="A348" s="54">
        <v>336</v>
      </c>
      <c r="B348" s="152" t="s">
        <v>259</v>
      </c>
      <c r="C348" s="119" t="s">
        <v>669</v>
      </c>
      <c r="D348" s="18"/>
      <c r="E348" s="150" t="s">
        <v>908</v>
      </c>
      <c r="F348" s="18"/>
      <c r="G348" s="13" t="s">
        <v>909</v>
      </c>
      <c r="H348" s="13" t="s">
        <v>263</v>
      </c>
      <c r="I348" s="13" t="s">
        <v>672</v>
      </c>
      <c r="J348" s="13" t="s">
        <v>673</v>
      </c>
      <c r="K348" s="13" t="s">
        <v>910</v>
      </c>
      <c r="L348" s="13" t="s">
        <v>701</v>
      </c>
      <c r="M348" s="159"/>
      <c r="N348" s="18"/>
      <c r="O348" s="38"/>
    </row>
    <row r="349" spans="1:15" ht="114" customHeight="1">
      <c r="A349" s="54">
        <v>337</v>
      </c>
      <c r="B349" s="186" t="s">
        <v>259</v>
      </c>
      <c r="C349" s="55" t="s">
        <v>669</v>
      </c>
      <c r="D349" s="18"/>
      <c r="E349" s="150" t="s">
        <v>911</v>
      </c>
      <c r="F349" s="18"/>
      <c r="G349" s="13" t="s">
        <v>912</v>
      </c>
      <c r="H349" s="13" t="s">
        <v>263</v>
      </c>
      <c r="I349" s="13" t="s">
        <v>672</v>
      </c>
      <c r="J349" s="13" t="s">
        <v>673</v>
      </c>
      <c r="K349" s="13" t="s">
        <v>913</v>
      </c>
      <c r="L349" s="13" t="s">
        <v>704</v>
      </c>
      <c r="M349" s="159"/>
      <c r="N349" s="18"/>
      <c r="O349" s="38"/>
    </row>
    <row r="350" spans="1:15" ht="112.5" customHeight="1">
      <c r="A350" s="54">
        <v>338</v>
      </c>
      <c r="B350" s="152" t="s">
        <v>259</v>
      </c>
      <c r="C350" s="119" t="s">
        <v>669</v>
      </c>
      <c r="D350" s="18"/>
      <c r="E350" s="150" t="s">
        <v>914</v>
      </c>
      <c r="F350" s="18"/>
      <c r="G350" s="13" t="s">
        <v>909</v>
      </c>
      <c r="H350" s="151" t="s">
        <v>268</v>
      </c>
      <c r="I350" s="13" t="s">
        <v>679</v>
      </c>
      <c r="J350" s="13" t="s">
        <v>680</v>
      </c>
      <c r="K350" s="13" t="s">
        <v>915</v>
      </c>
      <c r="L350" s="13" t="s">
        <v>701</v>
      </c>
      <c r="M350" s="159"/>
      <c r="N350" s="18"/>
      <c r="O350" s="38"/>
    </row>
    <row r="351" spans="1:15" ht="110.25" customHeight="1">
      <c r="A351" s="54">
        <v>339</v>
      </c>
      <c r="B351" s="186" t="s">
        <v>259</v>
      </c>
      <c r="C351" s="55" t="s">
        <v>669</v>
      </c>
      <c r="D351" s="18"/>
      <c r="E351" s="150" t="s">
        <v>916</v>
      </c>
      <c r="F351" s="18"/>
      <c r="G351" s="13" t="s">
        <v>909</v>
      </c>
      <c r="H351" s="151" t="s">
        <v>268</v>
      </c>
      <c r="I351" s="13" t="s">
        <v>679</v>
      </c>
      <c r="J351" s="13" t="s">
        <v>680</v>
      </c>
      <c r="K351" s="13" t="s">
        <v>917</v>
      </c>
      <c r="L351" s="13" t="s">
        <v>704</v>
      </c>
      <c r="M351" s="159"/>
      <c r="N351" s="18"/>
      <c r="O351" s="38"/>
    </row>
    <row r="352" spans="1:15" ht="116.25" customHeight="1">
      <c r="A352" s="54">
        <v>340</v>
      </c>
      <c r="B352" s="152" t="s">
        <v>259</v>
      </c>
      <c r="C352" s="119" t="s">
        <v>669</v>
      </c>
      <c r="D352" s="18"/>
      <c r="E352" s="150" t="s">
        <v>918</v>
      </c>
      <c r="F352" s="18"/>
      <c r="G352" s="13" t="s">
        <v>919</v>
      </c>
      <c r="H352" s="13" t="s">
        <v>263</v>
      </c>
      <c r="I352" s="13" t="s">
        <v>672</v>
      </c>
      <c r="J352" s="13" t="s">
        <v>673</v>
      </c>
      <c r="K352" s="13" t="s">
        <v>910</v>
      </c>
      <c r="L352" s="13" t="s">
        <v>762</v>
      </c>
      <c r="M352" s="159"/>
      <c r="N352" s="18"/>
      <c r="O352" s="38"/>
    </row>
    <row r="353" spans="1:15" ht="115.5" customHeight="1">
      <c r="A353" s="54">
        <v>341</v>
      </c>
      <c r="B353" s="186" t="s">
        <v>259</v>
      </c>
      <c r="C353" s="55" t="s">
        <v>669</v>
      </c>
      <c r="D353" s="18"/>
      <c r="E353" s="150" t="s">
        <v>920</v>
      </c>
      <c r="F353" s="18"/>
      <c r="G353" s="13" t="s">
        <v>921</v>
      </c>
      <c r="H353" s="13" t="s">
        <v>263</v>
      </c>
      <c r="I353" s="13" t="s">
        <v>672</v>
      </c>
      <c r="J353" s="13" t="s">
        <v>673</v>
      </c>
      <c r="K353" s="13" t="s">
        <v>913</v>
      </c>
      <c r="L353" s="13" t="s">
        <v>766</v>
      </c>
      <c r="M353" s="159"/>
      <c r="N353" s="18"/>
      <c r="O353" s="38"/>
    </row>
    <row r="354" spans="1:15" ht="119.25" customHeight="1">
      <c r="A354" s="54">
        <v>342</v>
      </c>
      <c r="B354" s="152" t="s">
        <v>259</v>
      </c>
      <c r="C354" s="119" t="s">
        <v>669</v>
      </c>
      <c r="D354" s="18"/>
      <c r="E354" s="150" t="s">
        <v>922</v>
      </c>
      <c r="F354" s="18"/>
      <c r="G354" s="13" t="s">
        <v>923</v>
      </c>
      <c r="H354" s="151" t="s">
        <v>268</v>
      </c>
      <c r="I354" s="13" t="s">
        <v>679</v>
      </c>
      <c r="J354" s="13" t="s">
        <v>680</v>
      </c>
      <c r="K354" s="13" t="s">
        <v>915</v>
      </c>
      <c r="L354" s="13" t="s">
        <v>762</v>
      </c>
      <c r="M354" s="159"/>
      <c r="N354" s="18"/>
      <c r="O354" s="38"/>
    </row>
    <row r="355" spans="1:15" ht="117" customHeight="1">
      <c r="A355" s="54">
        <v>343</v>
      </c>
      <c r="B355" s="186" t="s">
        <v>259</v>
      </c>
      <c r="C355" s="55" t="s">
        <v>669</v>
      </c>
      <c r="D355" s="18"/>
      <c r="E355" s="150" t="s">
        <v>924</v>
      </c>
      <c r="F355" s="18"/>
      <c r="G355" s="13" t="s">
        <v>923</v>
      </c>
      <c r="H355" s="151" t="s">
        <v>268</v>
      </c>
      <c r="I355" s="13" t="s">
        <v>679</v>
      </c>
      <c r="J355" s="13" t="s">
        <v>680</v>
      </c>
      <c r="K355" s="13" t="s">
        <v>917</v>
      </c>
      <c r="L355" s="13" t="s">
        <v>766</v>
      </c>
      <c r="M355" s="159"/>
      <c r="N355" s="18"/>
      <c r="O355" s="38"/>
    </row>
    <row r="356" spans="1:15" ht="114.75" customHeight="1">
      <c r="A356" s="54">
        <v>344</v>
      </c>
      <c r="B356" s="152" t="s">
        <v>259</v>
      </c>
      <c r="C356" s="119" t="s">
        <v>669</v>
      </c>
      <c r="D356" s="18"/>
      <c r="E356" s="150" t="s">
        <v>925</v>
      </c>
      <c r="F356" s="18"/>
      <c r="G356" s="13" t="s">
        <v>926</v>
      </c>
      <c r="H356" s="13" t="s">
        <v>263</v>
      </c>
      <c r="I356" s="13" t="s">
        <v>672</v>
      </c>
      <c r="J356" s="13" t="s">
        <v>673</v>
      </c>
      <c r="K356" s="13" t="s">
        <v>927</v>
      </c>
      <c r="L356" s="13" t="s">
        <v>701</v>
      </c>
      <c r="M356" s="159"/>
      <c r="N356" s="18"/>
      <c r="O356" s="38"/>
    </row>
    <row r="357" spans="1:15" ht="117.75" customHeight="1">
      <c r="A357" s="54">
        <v>345</v>
      </c>
      <c r="B357" s="186" t="s">
        <v>259</v>
      </c>
      <c r="C357" s="55" t="s">
        <v>669</v>
      </c>
      <c r="D357" s="18"/>
      <c r="E357" s="150" t="s">
        <v>928</v>
      </c>
      <c r="F357" s="18"/>
      <c r="G357" s="13" t="s">
        <v>926</v>
      </c>
      <c r="H357" s="13" t="s">
        <v>263</v>
      </c>
      <c r="I357" s="13" t="s">
        <v>672</v>
      </c>
      <c r="J357" s="13" t="s">
        <v>673</v>
      </c>
      <c r="K357" s="13" t="s">
        <v>929</v>
      </c>
      <c r="L357" s="13" t="s">
        <v>704</v>
      </c>
      <c r="M357" s="159"/>
      <c r="N357" s="18"/>
      <c r="O357" s="38"/>
    </row>
    <row r="358" spans="1:15" ht="117" customHeight="1">
      <c r="A358" s="54">
        <v>346</v>
      </c>
      <c r="B358" s="152" t="s">
        <v>259</v>
      </c>
      <c r="C358" s="119" t="s">
        <v>669</v>
      </c>
      <c r="D358" s="18"/>
      <c r="E358" s="150" t="s">
        <v>930</v>
      </c>
      <c r="F358" s="18"/>
      <c r="G358" s="13" t="s">
        <v>931</v>
      </c>
      <c r="H358" s="151" t="s">
        <v>268</v>
      </c>
      <c r="I358" s="13" t="s">
        <v>679</v>
      </c>
      <c r="J358" s="13" t="s">
        <v>680</v>
      </c>
      <c r="K358" s="13" t="s">
        <v>932</v>
      </c>
      <c r="L358" s="13" t="s">
        <v>701</v>
      </c>
      <c r="M358" s="159"/>
      <c r="N358" s="18"/>
      <c r="O358" s="38"/>
    </row>
    <row r="359" spans="1:15" ht="117" customHeight="1">
      <c r="A359" s="54">
        <v>347</v>
      </c>
      <c r="B359" s="186" t="s">
        <v>259</v>
      </c>
      <c r="C359" s="55" t="s">
        <v>669</v>
      </c>
      <c r="D359" s="18"/>
      <c r="E359" s="150" t="s">
        <v>928</v>
      </c>
      <c r="F359" s="18"/>
      <c r="G359" s="13" t="s">
        <v>931</v>
      </c>
      <c r="H359" s="151" t="s">
        <v>268</v>
      </c>
      <c r="I359" s="13" t="s">
        <v>679</v>
      </c>
      <c r="J359" s="13" t="s">
        <v>680</v>
      </c>
      <c r="K359" s="13" t="s">
        <v>933</v>
      </c>
      <c r="L359" s="13" t="s">
        <v>704</v>
      </c>
      <c r="M359" s="159"/>
      <c r="N359" s="18"/>
      <c r="O359" s="38"/>
    </row>
    <row r="360" spans="1:15" ht="111" customHeight="1">
      <c r="A360" s="54">
        <v>348</v>
      </c>
      <c r="B360" s="152" t="s">
        <v>259</v>
      </c>
      <c r="C360" s="119" t="s">
        <v>669</v>
      </c>
      <c r="D360" s="18"/>
      <c r="E360" s="150" t="s">
        <v>934</v>
      </c>
      <c r="F360" s="18"/>
      <c r="G360" s="13" t="s">
        <v>935</v>
      </c>
      <c r="H360" s="13" t="s">
        <v>263</v>
      </c>
      <c r="I360" s="13" t="s">
        <v>672</v>
      </c>
      <c r="J360" s="13" t="s">
        <v>673</v>
      </c>
      <c r="K360" s="13" t="s">
        <v>936</v>
      </c>
      <c r="L360" s="13" t="s">
        <v>701</v>
      </c>
      <c r="M360" s="159"/>
      <c r="N360" s="18"/>
      <c r="O360" s="38"/>
    </row>
    <row r="361" spans="1:15" ht="110.25" customHeight="1">
      <c r="A361" s="54">
        <v>349</v>
      </c>
      <c r="B361" s="186" t="s">
        <v>259</v>
      </c>
      <c r="C361" s="55" t="s">
        <v>669</v>
      </c>
      <c r="D361" s="18"/>
      <c r="E361" s="150" t="s">
        <v>937</v>
      </c>
      <c r="F361" s="18"/>
      <c r="G361" s="13" t="s">
        <v>935</v>
      </c>
      <c r="H361" s="13" t="s">
        <v>263</v>
      </c>
      <c r="I361" s="13" t="s">
        <v>672</v>
      </c>
      <c r="J361" s="13" t="s">
        <v>673</v>
      </c>
      <c r="K361" s="13" t="s">
        <v>938</v>
      </c>
      <c r="L361" s="13" t="s">
        <v>704</v>
      </c>
      <c r="M361" s="159"/>
      <c r="N361" s="18"/>
      <c r="O361" s="38"/>
    </row>
    <row r="362" spans="1:15" ht="111.75" customHeight="1">
      <c r="A362" s="54">
        <v>350</v>
      </c>
      <c r="B362" s="152" t="s">
        <v>259</v>
      </c>
      <c r="C362" s="119" t="s">
        <v>669</v>
      </c>
      <c r="D362" s="18"/>
      <c r="E362" s="150" t="s">
        <v>939</v>
      </c>
      <c r="F362" s="18"/>
      <c r="G362" s="13" t="s">
        <v>935</v>
      </c>
      <c r="H362" s="151" t="s">
        <v>268</v>
      </c>
      <c r="I362" s="13" t="s">
        <v>679</v>
      </c>
      <c r="J362" s="13" t="s">
        <v>680</v>
      </c>
      <c r="K362" s="13" t="s">
        <v>940</v>
      </c>
      <c r="L362" s="13" t="s">
        <v>701</v>
      </c>
      <c r="M362" s="159"/>
      <c r="N362" s="18"/>
      <c r="O362" s="38"/>
    </row>
    <row r="363" spans="1:15" ht="119.25" customHeight="1">
      <c r="A363" s="54">
        <v>351</v>
      </c>
      <c r="B363" s="186" t="s">
        <v>259</v>
      </c>
      <c r="C363" s="55" t="s">
        <v>669</v>
      </c>
      <c r="D363" s="18"/>
      <c r="E363" s="150" t="s">
        <v>941</v>
      </c>
      <c r="F363" s="18"/>
      <c r="G363" s="13" t="s">
        <v>935</v>
      </c>
      <c r="H363" s="151" t="s">
        <v>268</v>
      </c>
      <c r="I363" s="13" t="s">
        <v>679</v>
      </c>
      <c r="J363" s="13" t="s">
        <v>680</v>
      </c>
      <c r="K363" s="13" t="s">
        <v>942</v>
      </c>
      <c r="L363" s="13" t="s">
        <v>704</v>
      </c>
      <c r="M363" s="159"/>
      <c r="N363" s="18"/>
      <c r="O363" s="38"/>
    </row>
    <row r="364" spans="1:15" ht="146.25">
      <c r="A364" s="54">
        <v>352</v>
      </c>
      <c r="B364" s="152" t="s">
        <v>259</v>
      </c>
      <c r="C364" s="119" t="s">
        <v>669</v>
      </c>
      <c r="D364" s="18"/>
      <c r="E364" s="150" t="s">
        <v>943</v>
      </c>
      <c r="F364" s="18"/>
      <c r="G364" s="13" t="s">
        <v>944</v>
      </c>
      <c r="H364" s="13" t="s">
        <v>263</v>
      </c>
      <c r="I364" s="13" t="s">
        <v>672</v>
      </c>
      <c r="J364" s="13" t="s">
        <v>673</v>
      </c>
      <c r="K364" s="13" t="s">
        <v>859</v>
      </c>
      <c r="L364" s="13" t="s">
        <v>701</v>
      </c>
      <c r="M364" s="159"/>
      <c r="N364" s="18"/>
      <c r="O364" s="38"/>
    </row>
    <row r="365" spans="1:15" ht="146.25">
      <c r="A365" s="54">
        <v>353</v>
      </c>
      <c r="B365" s="186" t="s">
        <v>259</v>
      </c>
      <c r="C365" s="55" t="s">
        <v>669</v>
      </c>
      <c r="D365" s="18"/>
      <c r="E365" s="150" t="s">
        <v>943</v>
      </c>
      <c r="F365" s="18"/>
      <c r="G365" s="13" t="s">
        <v>944</v>
      </c>
      <c r="H365" s="13" t="s">
        <v>263</v>
      </c>
      <c r="I365" s="13" t="s">
        <v>672</v>
      </c>
      <c r="J365" s="13" t="s">
        <v>673</v>
      </c>
      <c r="K365" s="13" t="s">
        <v>862</v>
      </c>
      <c r="L365" s="13" t="s">
        <v>704</v>
      </c>
      <c r="M365" s="159"/>
      <c r="N365" s="18"/>
      <c r="O365" s="38"/>
    </row>
    <row r="366" spans="1:15" ht="113.25">
      <c r="A366" s="54">
        <v>354</v>
      </c>
      <c r="B366" s="152" t="s">
        <v>259</v>
      </c>
      <c r="C366" s="119" t="s">
        <v>669</v>
      </c>
      <c r="D366" s="18"/>
      <c r="E366" s="150" t="s">
        <v>943</v>
      </c>
      <c r="F366" s="18"/>
      <c r="G366" s="13" t="s">
        <v>944</v>
      </c>
      <c r="H366" s="151" t="s">
        <v>268</v>
      </c>
      <c r="I366" s="13" t="s">
        <v>679</v>
      </c>
      <c r="J366" s="13" t="s">
        <v>680</v>
      </c>
      <c r="K366" s="13" t="s">
        <v>864</v>
      </c>
      <c r="L366" s="13" t="s">
        <v>701</v>
      </c>
      <c r="M366" s="159"/>
      <c r="N366" s="18"/>
      <c r="O366" s="38"/>
    </row>
    <row r="367" spans="1:15" ht="113.25">
      <c r="A367" s="54">
        <v>355</v>
      </c>
      <c r="B367" s="186" t="s">
        <v>259</v>
      </c>
      <c r="C367" s="55" t="s">
        <v>669</v>
      </c>
      <c r="D367" s="18"/>
      <c r="E367" s="150" t="s">
        <v>943</v>
      </c>
      <c r="F367" s="18"/>
      <c r="G367" s="13" t="s">
        <v>944</v>
      </c>
      <c r="H367" s="151" t="s">
        <v>268</v>
      </c>
      <c r="I367" s="13" t="s">
        <v>679</v>
      </c>
      <c r="J367" s="13" t="s">
        <v>680</v>
      </c>
      <c r="K367" s="13" t="s">
        <v>866</v>
      </c>
      <c r="L367" s="13" t="s">
        <v>704</v>
      </c>
      <c r="M367" s="159"/>
      <c r="N367" s="18"/>
      <c r="O367" s="38"/>
    </row>
    <row r="368" spans="1:15" ht="146.25">
      <c r="A368" s="54">
        <v>356</v>
      </c>
      <c r="B368" s="152" t="s">
        <v>259</v>
      </c>
      <c r="C368" s="119" t="s">
        <v>669</v>
      </c>
      <c r="D368" s="18"/>
      <c r="E368" s="150" t="s">
        <v>945</v>
      </c>
      <c r="F368" s="18"/>
      <c r="G368" s="13" t="s">
        <v>946</v>
      </c>
      <c r="H368" s="13" t="s">
        <v>263</v>
      </c>
      <c r="I368" s="13" t="s">
        <v>672</v>
      </c>
      <c r="J368" s="13" t="s">
        <v>673</v>
      </c>
      <c r="K368" s="13" t="s">
        <v>859</v>
      </c>
      <c r="L368" s="13" t="s">
        <v>701</v>
      </c>
      <c r="M368" s="159"/>
      <c r="N368" s="18"/>
      <c r="O368" s="38"/>
    </row>
    <row r="369" spans="1:15" ht="146.25">
      <c r="A369" s="54">
        <v>357</v>
      </c>
      <c r="B369" s="186" t="s">
        <v>259</v>
      </c>
      <c r="C369" s="55" t="s">
        <v>669</v>
      </c>
      <c r="D369" s="18"/>
      <c r="E369" s="150" t="s">
        <v>945</v>
      </c>
      <c r="F369" s="18"/>
      <c r="G369" s="13" t="s">
        <v>946</v>
      </c>
      <c r="H369" s="13" t="s">
        <v>263</v>
      </c>
      <c r="I369" s="13" t="s">
        <v>672</v>
      </c>
      <c r="J369" s="13" t="s">
        <v>673</v>
      </c>
      <c r="K369" s="13" t="s">
        <v>862</v>
      </c>
      <c r="L369" s="13" t="s">
        <v>704</v>
      </c>
      <c r="M369" s="159"/>
      <c r="N369" s="18"/>
      <c r="O369" s="38"/>
    </row>
    <row r="370" spans="1:15" ht="113.25">
      <c r="A370" s="54">
        <v>358</v>
      </c>
      <c r="B370" s="152" t="s">
        <v>259</v>
      </c>
      <c r="C370" s="119" t="s">
        <v>669</v>
      </c>
      <c r="D370" s="18"/>
      <c r="E370" s="150" t="s">
        <v>945</v>
      </c>
      <c r="F370" s="18"/>
      <c r="G370" s="13" t="s">
        <v>946</v>
      </c>
      <c r="H370" s="151" t="s">
        <v>268</v>
      </c>
      <c r="I370" s="13" t="s">
        <v>679</v>
      </c>
      <c r="J370" s="13" t="s">
        <v>680</v>
      </c>
      <c r="K370" s="13" t="s">
        <v>864</v>
      </c>
      <c r="L370" s="13" t="s">
        <v>701</v>
      </c>
      <c r="M370" s="159"/>
      <c r="N370" s="18"/>
      <c r="O370" s="38"/>
    </row>
    <row r="371" spans="1:15" ht="113.25">
      <c r="A371" s="54">
        <v>359</v>
      </c>
      <c r="B371" s="186" t="s">
        <v>259</v>
      </c>
      <c r="C371" s="55" t="s">
        <v>669</v>
      </c>
      <c r="D371" s="18"/>
      <c r="E371" s="150" t="s">
        <v>945</v>
      </c>
      <c r="F371" s="18"/>
      <c r="G371" s="13" t="s">
        <v>946</v>
      </c>
      <c r="H371" s="151" t="s">
        <v>268</v>
      </c>
      <c r="I371" s="13" t="s">
        <v>679</v>
      </c>
      <c r="J371" s="13" t="s">
        <v>680</v>
      </c>
      <c r="K371" s="13" t="s">
        <v>866</v>
      </c>
      <c r="L371" s="13" t="s">
        <v>704</v>
      </c>
      <c r="M371" s="159"/>
      <c r="N371" s="18"/>
      <c r="O371" s="38"/>
    </row>
    <row r="372" spans="1:15" ht="146.25">
      <c r="A372" s="54">
        <v>360</v>
      </c>
      <c r="B372" s="152" t="s">
        <v>259</v>
      </c>
      <c r="C372" s="119" t="s">
        <v>669</v>
      </c>
      <c r="D372" s="18"/>
      <c r="E372" s="150" t="s">
        <v>947</v>
      </c>
      <c r="F372" s="18"/>
      <c r="G372" s="13" t="s">
        <v>948</v>
      </c>
      <c r="H372" s="13" t="s">
        <v>263</v>
      </c>
      <c r="I372" s="13" t="s">
        <v>672</v>
      </c>
      <c r="J372" s="13" t="s">
        <v>673</v>
      </c>
      <c r="K372" s="13" t="s">
        <v>949</v>
      </c>
      <c r="L372" s="13" t="s">
        <v>762</v>
      </c>
      <c r="M372" s="159"/>
      <c r="N372" s="18"/>
      <c r="O372" s="38"/>
    </row>
    <row r="373" spans="1:15" ht="146.25">
      <c r="A373" s="54">
        <v>361</v>
      </c>
      <c r="B373" s="186" t="s">
        <v>259</v>
      </c>
      <c r="C373" s="55" t="s">
        <v>669</v>
      </c>
      <c r="D373" s="18"/>
      <c r="E373" s="150" t="s">
        <v>947</v>
      </c>
      <c r="F373" s="18"/>
      <c r="G373" s="13" t="s">
        <v>948</v>
      </c>
      <c r="H373" s="13" t="s">
        <v>263</v>
      </c>
      <c r="I373" s="13" t="s">
        <v>672</v>
      </c>
      <c r="J373" s="13" t="s">
        <v>673</v>
      </c>
      <c r="K373" s="13" t="s">
        <v>950</v>
      </c>
      <c r="L373" s="13" t="s">
        <v>766</v>
      </c>
      <c r="M373" s="159"/>
      <c r="N373" s="18"/>
      <c r="O373" s="38"/>
    </row>
    <row r="374" spans="1:15" ht="113.25">
      <c r="A374" s="54">
        <v>362</v>
      </c>
      <c r="B374" s="152" t="s">
        <v>259</v>
      </c>
      <c r="C374" s="119" t="s">
        <v>669</v>
      </c>
      <c r="D374" s="18"/>
      <c r="E374" s="150" t="s">
        <v>947</v>
      </c>
      <c r="F374" s="18"/>
      <c r="G374" s="13" t="s">
        <v>948</v>
      </c>
      <c r="H374" s="151" t="s">
        <v>268</v>
      </c>
      <c r="I374" s="13" t="s">
        <v>679</v>
      </c>
      <c r="J374" s="13" t="s">
        <v>680</v>
      </c>
      <c r="K374" s="13" t="s">
        <v>951</v>
      </c>
      <c r="L374" s="13" t="s">
        <v>762</v>
      </c>
      <c r="M374" s="159"/>
      <c r="N374" s="18"/>
      <c r="O374" s="38"/>
    </row>
    <row r="375" spans="1:15" ht="113.25">
      <c r="A375" s="54">
        <v>363</v>
      </c>
      <c r="B375" s="186" t="s">
        <v>259</v>
      </c>
      <c r="C375" s="55" t="s">
        <v>669</v>
      </c>
      <c r="D375" s="18"/>
      <c r="E375" s="150" t="s">
        <v>947</v>
      </c>
      <c r="F375" s="18"/>
      <c r="G375" s="13" t="s">
        <v>948</v>
      </c>
      <c r="H375" s="151" t="s">
        <v>268</v>
      </c>
      <c r="I375" s="13" t="s">
        <v>679</v>
      </c>
      <c r="J375" s="13" t="s">
        <v>680</v>
      </c>
      <c r="K375" s="13" t="s">
        <v>952</v>
      </c>
      <c r="L375" s="13" t="s">
        <v>766</v>
      </c>
      <c r="M375" s="159"/>
      <c r="N375" s="18"/>
      <c r="O375" s="38"/>
    </row>
    <row r="376" spans="1:15" ht="115.5" customHeight="1">
      <c r="A376" s="54">
        <v>364</v>
      </c>
      <c r="B376" s="152" t="s">
        <v>259</v>
      </c>
      <c r="C376" s="119" t="s">
        <v>669</v>
      </c>
      <c r="D376" s="18"/>
      <c r="E376" s="150" t="s">
        <v>953</v>
      </c>
      <c r="F376" s="18"/>
      <c r="G376" s="13" t="s">
        <v>954</v>
      </c>
      <c r="H376" s="13" t="s">
        <v>263</v>
      </c>
      <c r="I376" s="13" t="s">
        <v>672</v>
      </c>
      <c r="J376" s="13" t="s">
        <v>673</v>
      </c>
      <c r="K376" s="13" t="s">
        <v>955</v>
      </c>
      <c r="L376" s="13" t="s">
        <v>762</v>
      </c>
      <c r="M376" s="159"/>
      <c r="N376" s="18"/>
      <c r="O376" s="38"/>
    </row>
    <row r="377" spans="1:15" ht="111.75" customHeight="1">
      <c r="A377" s="54">
        <v>365</v>
      </c>
      <c r="B377" s="186" t="s">
        <v>259</v>
      </c>
      <c r="C377" s="55" t="s">
        <v>669</v>
      </c>
      <c r="D377" s="18"/>
      <c r="E377" s="150" t="s">
        <v>953</v>
      </c>
      <c r="F377" s="18"/>
      <c r="G377" s="13" t="s">
        <v>954</v>
      </c>
      <c r="H377" s="13" t="s">
        <v>263</v>
      </c>
      <c r="I377" s="13" t="s">
        <v>672</v>
      </c>
      <c r="J377" s="13" t="s">
        <v>673</v>
      </c>
      <c r="K377" s="13" t="s">
        <v>956</v>
      </c>
      <c r="L377" s="13" t="s">
        <v>766</v>
      </c>
      <c r="M377" s="159"/>
      <c r="N377" s="18"/>
      <c r="O377" s="38"/>
    </row>
    <row r="378" spans="1:15" ht="111.75" customHeight="1">
      <c r="A378" s="54">
        <v>366</v>
      </c>
      <c r="B378" s="152" t="s">
        <v>259</v>
      </c>
      <c r="C378" s="119" t="s">
        <v>669</v>
      </c>
      <c r="D378" s="18"/>
      <c r="E378" s="150" t="s">
        <v>953</v>
      </c>
      <c r="F378" s="18"/>
      <c r="G378" s="13" t="s">
        <v>954</v>
      </c>
      <c r="H378" s="151" t="s">
        <v>268</v>
      </c>
      <c r="I378" s="13" t="s">
        <v>679</v>
      </c>
      <c r="J378" s="13" t="s">
        <v>680</v>
      </c>
      <c r="K378" s="13" t="s">
        <v>957</v>
      </c>
      <c r="L378" s="13" t="s">
        <v>762</v>
      </c>
      <c r="M378" s="159"/>
      <c r="N378" s="18"/>
      <c r="O378" s="38"/>
    </row>
    <row r="379" spans="1:15" ht="115.5" customHeight="1">
      <c r="A379" s="54">
        <v>367</v>
      </c>
      <c r="B379" s="186" t="s">
        <v>259</v>
      </c>
      <c r="C379" s="55" t="s">
        <v>669</v>
      </c>
      <c r="D379" s="18"/>
      <c r="E379" s="150" t="s">
        <v>953</v>
      </c>
      <c r="F379" s="18"/>
      <c r="G379" s="13" t="s">
        <v>954</v>
      </c>
      <c r="H379" s="151" t="s">
        <v>268</v>
      </c>
      <c r="I379" s="13" t="s">
        <v>679</v>
      </c>
      <c r="J379" s="13" t="s">
        <v>680</v>
      </c>
      <c r="K379" s="13" t="s">
        <v>958</v>
      </c>
      <c r="L379" s="13" t="s">
        <v>766</v>
      </c>
      <c r="M379" s="159"/>
      <c r="N379" s="18"/>
      <c r="O379" s="38"/>
    </row>
    <row r="380" spans="1:15" ht="115.5" customHeight="1">
      <c r="A380" s="54">
        <v>368</v>
      </c>
      <c r="B380" s="152" t="s">
        <v>259</v>
      </c>
      <c r="C380" s="119" t="s">
        <v>669</v>
      </c>
      <c r="D380" s="18"/>
      <c r="E380" s="150" t="s">
        <v>959</v>
      </c>
      <c r="F380" s="18"/>
      <c r="G380" s="13" t="s">
        <v>960</v>
      </c>
      <c r="H380" s="13" t="s">
        <v>263</v>
      </c>
      <c r="I380" s="13" t="s">
        <v>672</v>
      </c>
      <c r="J380" s="13" t="s">
        <v>673</v>
      </c>
      <c r="K380" s="13" t="s">
        <v>955</v>
      </c>
      <c r="L380" s="13" t="s">
        <v>762</v>
      </c>
      <c r="M380" s="159"/>
      <c r="N380" s="18"/>
      <c r="O380" s="38"/>
    </row>
    <row r="381" spans="1:15" ht="118.5" customHeight="1">
      <c r="A381" s="54">
        <v>369</v>
      </c>
      <c r="B381" s="186" t="s">
        <v>259</v>
      </c>
      <c r="C381" s="55" t="s">
        <v>669</v>
      </c>
      <c r="D381" s="18"/>
      <c r="E381" s="150" t="s">
        <v>961</v>
      </c>
      <c r="F381" s="18"/>
      <c r="G381" s="13" t="s">
        <v>960</v>
      </c>
      <c r="H381" s="13" t="s">
        <v>263</v>
      </c>
      <c r="I381" s="13" t="s">
        <v>672</v>
      </c>
      <c r="J381" s="13" t="s">
        <v>673</v>
      </c>
      <c r="K381" s="13" t="s">
        <v>956</v>
      </c>
      <c r="L381" s="13" t="s">
        <v>766</v>
      </c>
      <c r="M381" s="159"/>
      <c r="N381" s="18"/>
      <c r="O381" s="38"/>
    </row>
    <row r="382" spans="1:15" ht="121.5" customHeight="1">
      <c r="A382" s="54">
        <v>370</v>
      </c>
      <c r="B382" s="152" t="s">
        <v>259</v>
      </c>
      <c r="C382" s="119" t="s">
        <v>669</v>
      </c>
      <c r="D382" s="18"/>
      <c r="E382" s="150" t="s">
        <v>961</v>
      </c>
      <c r="F382" s="18"/>
      <c r="G382" s="13" t="s">
        <v>960</v>
      </c>
      <c r="H382" s="151" t="s">
        <v>268</v>
      </c>
      <c r="I382" s="13" t="s">
        <v>679</v>
      </c>
      <c r="J382" s="13" t="s">
        <v>680</v>
      </c>
      <c r="K382" s="13" t="s">
        <v>957</v>
      </c>
      <c r="L382" s="13" t="s">
        <v>762</v>
      </c>
      <c r="M382" s="159"/>
      <c r="N382" s="18"/>
      <c r="O382" s="38"/>
    </row>
    <row r="383" spans="1:15" ht="120" customHeight="1">
      <c r="A383" s="54">
        <v>371</v>
      </c>
      <c r="B383" s="186" t="s">
        <v>259</v>
      </c>
      <c r="C383" s="55" t="s">
        <v>669</v>
      </c>
      <c r="D383" s="18"/>
      <c r="E383" s="150" t="s">
        <v>961</v>
      </c>
      <c r="F383" s="18"/>
      <c r="G383" s="13" t="s">
        <v>960</v>
      </c>
      <c r="H383" s="151" t="s">
        <v>268</v>
      </c>
      <c r="I383" s="13" t="s">
        <v>679</v>
      </c>
      <c r="J383" s="13" t="s">
        <v>680</v>
      </c>
      <c r="K383" s="13" t="s">
        <v>958</v>
      </c>
      <c r="L383" s="13" t="s">
        <v>766</v>
      </c>
      <c r="M383" s="159"/>
      <c r="N383" s="18"/>
      <c r="O383" s="38"/>
    </row>
    <row r="384" spans="1:15" ht="122.25" customHeight="1">
      <c r="A384" s="54">
        <v>372</v>
      </c>
      <c r="B384" s="152" t="s">
        <v>259</v>
      </c>
      <c r="C384" s="119" t="s">
        <v>669</v>
      </c>
      <c r="D384" s="18"/>
      <c r="E384" s="150" t="s">
        <v>962</v>
      </c>
      <c r="F384" s="18"/>
      <c r="G384" s="13" t="s">
        <v>963</v>
      </c>
      <c r="H384" s="13" t="s">
        <v>263</v>
      </c>
      <c r="I384" s="13" t="s">
        <v>672</v>
      </c>
      <c r="J384" s="13" t="s">
        <v>673</v>
      </c>
      <c r="K384" s="13" t="s">
        <v>955</v>
      </c>
      <c r="L384" s="13" t="s">
        <v>762</v>
      </c>
      <c r="M384" s="159"/>
      <c r="N384" s="18"/>
      <c r="O384" s="38"/>
    </row>
    <row r="385" spans="1:15" ht="146.25">
      <c r="A385" s="54">
        <v>373</v>
      </c>
      <c r="B385" s="186" t="s">
        <v>259</v>
      </c>
      <c r="C385" s="55" t="s">
        <v>669</v>
      </c>
      <c r="D385" s="18"/>
      <c r="E385" s="150" t="s">
        <v>962</v>
      </c>
      <c r="F385" s="18"/>
      <c r="G385" s="13" t="s">
        <v>963</v>
      </c>
      <c r="H385" s="13" t="s">
        <v>263</v>
      </c>
      <c r="I385" s="13" t="s">
        <v>672</v>
      </c>
      <c r="J385" s="13" t="s">
        <v>673</v>
      </c>
      <c r="K385" s="13" t="s">
        <v>956</v>
      </c>
      <c r="L385" s="13" t="s">
        <v>766</v>
      </c>
      <c r="M385" s="159"/>
      <c r="N385" s="18"/>
      <c r="O385" s="38"/>
    </row>
    <row r="386" spans="1:15" ht="118.5" customHeight="1">
      <c r="A386" s="54">
        <v>374</v>
      </c>
      <c r="B386" s="152" t="s">
        <v>259</v>
      </c>
      <c r="C386" s="119" t="s">
        <v>669</v>
      </c>
      <c r="D386" s="18"/>
      <c r="E386" s="150" t="s">
        <v>962</v>
      </c>
      <c r="F386" s="18"/>
      <c r="G386" s="13" t="s">
        <v>963</v>
      </c>
      <c r="H386" s="151" t="s">
        <v>268</v>
      </c>
      <c r="I386" s="13" t="s">
        <v>679</v>
      </c>
      <c r="J386" s="13" t="s">
        <v>680</v>
      </c>
      <c r="K386" s="13" t="s">
        <v>957</v>
      </c>
      <c r="L386" s="13" t="s">
        <v>762</v>
      </c>
      <c r="M386" s="159"/>
      <c r="N386" s="18"/>
      <c r="O386" s="38"/>
    </row>
    <row r="387" spans="1:15" ht="114.75" customHeight="1">
      <c r="A387" s="54">
        <v>375</v>
      </c>
      <c r="B387" s="186" t="s">
        <v>259</v>
      </c>
      <c r="C387" s="55" t="s">
        <v>669</v>
      </c>
      <c r="D387" s="18"/>
      <c r="E387" s="150" t="s">
        <v>962</v>
      </c>
      <c r="F387" s="18"/>
      <c r="G387" s="13" t="s">
        <v>963</v>
      </c>
      <c r="H387" s="151" t="s">
        <v>268</v>
      </c>
      <c r="I387" s="13" t="s">
        <v>679</v>
      </c>
      <c r="J387" s="13" t="s">
        <v>680</v>
      </c>
      <c r="K387" s="13" t="s">
        <v>958</v>
      </c>
      <c r="L387" s="13" t="s">
        <v>766</v>
      </c>
      <c r="M387" s="159"/>
      <c r="N387" s="18"/>
      <c r="O387" s="38"/>
    </row>
    <row r="388" spans="1:15" ht="116.25" customHeight="1">
      <c r="A388" s="54">
        <v>376</v>
      </c>
      <c r="B388" s="152" t="s">
        <v>259</v>
      </c>
      <c r="C388" s="119" t="s">
        <v>669</v>
      </c>
      <c r="D388" s="18"/>
      <c r="E388" s="150" t="s">
        <v>964</v>
      </c>
      <c r="F388" s="18"/>
      <c r="G388" s="13" t="s">
        <v>965</v>
      </c>
      <c r="H388" s="13" t="s">
        <v>263</v>
      </c>
      <c r="I388" s="13" t="s">
        <v>672</v>
      </c>
      <c r="J388" s="13" t="s">
        <v>673</v>
      </c>
      <c r="K388" s="13" t="s">
        <v>955</v>
      </c>
      <c r="L388" s="13" t="s">
        <v>762</v>
      </c>
      <c r="M388" s="159"/>
      <c r="N388" s="18"/>
      <c r="O388" s="38"/>
    </row>
    <row r="389" spans="1:15" ht="114" customHeight="1">
      <c r="A389" s="54">
        <v>377</v>
      </c>
      <c r="B389" s="186" t="s">
        <v>259</v>
      </c>
      <c r="C389" s="55" t="s">
        <v>669</v>
      </c>
      <c r="D389" s="18"/>
      <c r="E389" s="150" t="s">
        <v>966</v>
      </c>
      <c r="F389" s="18"/>
      <c r="G389" s="13" t="s">
        <v>965</v>
      </c>
      <c r="H389" s="13" t="s">
        <v>263</v>
      </c>
      <c r="I389" s="13" t="s">
        <v>672</v>
      </c>
      <c r="J389" s="13" t="s">
        <v>673</v>
      </c>
      <c r="K389" s="13" t="s">
        <v>956</v>
      </c>
      <c r="L389" s="13" t="s">
        <v>766</v>
      </c>
      <c r="M389" s="159"/>
      <c r="N389" s="18"/>
      <c r="O389" s="38"/>
    </row>
    <row r="390" spans="1:15" ht="113.25">
      <c r="A390" s="54">
        <v>378</v>
      </c>
      <c r="B390" s="152" t="s">
        <v>259</v>
      </c>
      <c r="C390" s="119" t="s">
        <v>669</v>
      </c>
      <c r="D390" s="18"/>
      <c r="E390" s="150" t="s">
        <v>966</v>
      </c>
      <c r="F390" s="18"/>
      <c r="G390" s="13" t="s">
        <v>965</v>
      </c>
      <c r="H390" s="151" t="s">
        <v>268</v>
      </c>
      <c r="I390" s="13" t="s">
        <v>679</v>
      </c>
      <c r="J390" s="13" t="s">
        <v>680</v>
      </c>
      <c r="K390" s="13" t="s">
        <v>957</v>
      </c>
      <c r="L390" s="13" t="s">
        <v>762</v>
      </c>
      <c r="M390" s="159"/>
      <c r="N390" s="18"/>
      <c r="O390" s="38"/>
    </row>
    <row r="391" spans="1:15" ht="108" customHeight="1">
      <c r="A391" s="54">
        <v>379</v>
      </c>
      <c r="B391" s="186" t="s">
        <v>259</v>
      </c>
      <c r="C391" s="55" t="s">
        <v>669</v>
      </c>
      <c r="D391" s="18"/>
      <c r="E391" s="150" t="s">
        <v>967</v>
      </c>
      <c r="F391" s="18"/>
      <c r="G391" s="13" t="s">
        <v>965</v>
      </c>
      <c r="H391" s="151" t="s">
        <v>268</v>
      </c>
      <c r="I391" s="13" t="s">
        <v>679</v>
      </c>
      <c r="J391" s="13" t="s">
        <v>680</v>
      </c>
      <c r="K391" s="13" t="s">
        <v>958</v>
      </c>
      <c r="L391" s="13" t="s">
        <v>766</v>
      </c>
      <c r="M391" s="159"/>
      <c r="N391" s="18"/>
      <c r="O391" s="38"/>
    </row>
    <row r="392" spans="1:15" ht="117.75" customHeight="1">
      <c r="A392" s="54">
        <v>380</v>
      </c>
      <c r="B392" s="152" t="s">
        <v>259</v>
      </c>
      <c r="C392" s="119" t="s">
        <v>669</v>
      </c>
      <c r="D392" s="18"/>
      <c r="E392" s="150" t="s">
        <v>968</v>
      </c>
      <c r="F392" s="18"/>
      <c r="G392" s="13" t="s">
        <v>969</v>
      </c>
      <c r="H392" s="13" t="s">
        <v>263</v>
      </c>
      <c r="I392" s="13" t="s">
        <v>672</v>
      </c>
      <c r="J392" s="13" t="s">
        <v>673</v>
      </c>
      <c r="K392" s="13" t="s">
        <v>970</v>
      </c>
      <c r="L392" s="13" t="s">
        <v>762</v>
      </c>
      <c r="M392" s="159"/>
      <c r="N392" s="18"/>
      <c r="O392" s="38"/>
    </row>
    <row r="393" spans="1:15" ht="111.75" customHeight="1">
      <c r="A393" s="54">
        <v>381</v>
      </c>
      <c r="B393" s="186" t="s">
        <v>259</v>
      </c>
      <c r="C393" s="55" t="s">
        <v>669</v>
      </c>
      <c r="D393" s="18"/>
      <c r="E393" s="150" t="s">
        <v>966</v>
      </c>
      <c r="F393" s="18"/>
      <c r="G393" s="13" t="s">
        <v>969</v>
      </c>
      <c r="H393" s="13" t="s">
        <v>263</v>
      </c>
      <c r="I393" s="13" t="s">
        <v>672</v>
      </c>
      <c r="J393" s="13" t="s">
        <v>673</v>
      </c>
      <c r="K393" s="13" t="s">
        <v>971</v>
      </c>
      <c r="L393" s="13" t="s">
        <v>972</v>
      </c>
      <c r="M393" s="159"/>
      <c r="N393" s="18"/>
      <c r="O393" s="38"/>
    </row>
    <row r="394" spans="1:15" ht="120.75" customHeight="1">
      <c r="A394" s="54">
        <v>382</v>
      </c>
      <c r="B394" s="152" t="s">
        <v>259</v>
      </c>
      <c r="C394" s="119" t="s">
        <v>669</v>
      </c>
      <c r="D394" s="18"/>
      <c r="E394" s="150" t="s">
        <v>968</v>
      </c>
      <c r="F394" s="18"/>
      <c r="G394" s="13" t="s">
        <v>969</v>
      </c>
      <c r="H394" s="151" t="s">
        <v>268</v>
      </c>
      <c r="I394" s="13" t="s">
        <v>679</v>
      </c>
      <c r="J394" s="13" t="s">
        <v>680</v>
      </c>
      <c r="K394" s="13" t="s">
        <v>973</v>
      </c>
      <c r="L394" s="13" t="s">
        <v>974</v>
      </c>
      <c r="M394" s="159"/>
      <c r="N394" s="18"/>
      <c r="O394" s="38"/>
    </row>
    <row r="395" spans="1:15" ht="119.25" customHeight="1">
      <c r="A395" s="54">
        <v>383</v>
      </c>
      <c r="B395" s="186" t="s">
        <v>259</v>
      </c>
      <c r="C395" s="55" t="s">
        <v>669</v>
      </c>
      <c r="D395" s="18"/>
      <c r="E395" s="150" t="s">
        <v>968</v>
      </c>
      <c r="F395" s="18"/>
      <c r="G395" s="13" t="s">
        <v>969</v>
      </c>
      <c r="H395" s="151" t="s">
        <v>268</v>
      </c>
      <c r="I395" s="13" t="s">
        <v>679</v>
      </c>
      <c r="J395" s="13" t="s">
        <v>680</v>
      </c>
      <c r="K395" s="13" t="s">
        <v>975</v>
      </c>
      <c r="L395" s="13" t="s">
        <v>972</v>
      </c>
      <c r="M395" s="159"/>
      <c r="N395" s="18"/>
      <c r="O395" s="38"/>
    </row>
    <row r="396" spans="1:15" ht="108.75" customHeight="1">
      <c r="A396" s="54">
        <v>384</v>
      </c>
      <c r="B396" s="152" t="s">
        <v>259</v>
      </c>
      <c r="C396" s="119" t="s">
        <v>669</v>
      </c>
      <c r="D396" s="18"/>
      <c r="E396" s="150" t="s">
        <v>976</v>
      </c>
      <c r="F396" s="18"/>
      <c r="G396" s="13" t="s">
        <v>977</v>
      </c>
      <c r="H396" s="13" t="s">
        <v>263</v>
      </c>
      <c r="I396" s="13" t="s">
        <v>672</v>
      </c>
      <c r="J396" s="13" t="s">
        <v>673</v>
      </c>
      <c r="K396" s="13" t="s">
        <v>978</v>
      </c>
      <c r="L396" s="13" t="s">
        <v>979</v>
      </c>
      <c r="M396" s="159"/>
      <c r="N396" s="18"/>
      <c r="O396" s="38"/>
    </row>
    <row r="397" spans="1:15" ht="119.25" customHeight="1">
      <c r="A397" s="54">
        <v>385</v>
      </c>
      <c r="B397" s="186" t="s">
        <v>259</v>
      </c>
      <c r="C397" s="55" t="s">
        <v>669</v>
      </c>
      <c r="D397" s="18"/>
      <c r="E397" s="150" t="s">
        <v>976</v>
      </c>
      <c r="F397" s="18"/>
      <c r="G397" s="13" t="s">
        <v>980</v>
      </c>
      <c r="H397" s="13" t="s">
        <v>263</v>
      </c>
      <c r="I397" s="13" t="s">
        <v>672</v>
      </c>
      <c r="J397" s="13" t="s">
        <v>673</v>
      </c>
      <c r="K397" s="13" t="s">
        <v>981</v>
      </c>
      <c r="L397" s="13" t="s">
        <v>982</v>
      </c>
      <c r="M397" s="159"/>
      <c r="N397" s="18"/>
      <c r="O397" s="38"/>
    </row>
    <row r="398" spans="1:15" ht="117" customHeight="1">
      <c r="A398" s="54">
        <v>386</v>
      </c>
      <c r="B398" s="152" t="s">
        <v>259</v>
      </c>
      <c r="C398" s="119" t="s">
        <v>669</v>
      </c>
      <c r="D398" s="18"/>
      <c r="E398" s="150" t="s">
        <v>976</v>
      </c>
      <c r="F398" s="18"/>
      <c r="G398" s="13" t="s">
        <v>977</v>
      </c>
      <c r="H398" s="151" t="s">
        <v>268</v>
      </c>
      <c r="I398" s="13" t="s">
        <v>679</v>
      </c>
      <c r="J398" s="13" t="s">
        <v>680</v>
      </c>
      <c r="K398" s="13" t="s">
        <v>983</v>
      </c>
      <c r="L398" s="13" t="s">
        <v>979</v>
      </c>
      <c r="M398" s="159"/>
      <c r="N398" s="18"/>
      <c r="O398" s="38"/>
    </row>
    <row r="399" spans="1:15" ht="113.25" customHeight="1">
      <c r="A399" s="54">
        <v>387</v>
      </c>
      <c r="B399" s="186" t="s">
        <v>259</v>
      </c>
      <c r="C399" s="55" t="s">
        <v>669</v>
      </c>
      <c r="D399" s="18"/>
      <c r="E399" s="150" t="s">
        <v>976</v>
      </c>
      <c r="F399" s="18"/>
      <c r="G399" s="13" t="s">
        <v>977</v>
      </c>
      <c r="H399" s="151" t="s">
        <v>268</v>
      </c>
      <c r="I399" s="13" t="s">
        <v>679</v>
      </c>
      <c r="J399" s="13" t="s">
        <v>680</v>
      </c>
      <c r="K399" s="13" t="s">
        <v>984</v>
      </c>
      <c r="L399" s="13" t="s">
        <v>985</v>
      </c>
      <c r="M399" s="159"/>
      <c r="N399" s="18"/>
      <c r="O399" s="38"/>
    </row>
    <row r="400" spans="1:15" ht="90.75" customHeight="1">
      <c r="A400" s="54">
        <v>388</v>
      </c>
      <c r="B400" s="152" t="s">
        <v>259</v>
      </c>
      <c r="C400" s="119" t="s">
        <v>669</v>
      </c>
      <c r="D400" s="18"/>
      <c r="E400" s="150" t="s">
        <v>986</v>
      </c>
      <c r="F400" s="18"/>
      <c r="G400" s="13" t="s">
        <v>987</v>
      </c>
      <c r="H400" s="13" t="s">
        <v>263</v>
      </c>
      <c r="I400" s="13" t="s">
        <v>672</v>
      </c>
      <c r="J400" s="13" t="s">
        <v>673</v>
      </c>
      <c r="K400" s="13" t="s">
        <v>988</v>
      </c>
      <c r="L400" s="13" t="s">
        <v>979</v>
      </c>
      <c r="M400" s="159"/>
      <c r="N400" s="18"/>
      <c r="O400" s="38"/>
    </row>
    <row r="401" spans="1:15" ht="109.5" customHeight="1">
      <c r="A401" s="54">
        <v>389</v>
      </c>
      <c r="B401" s="186" t="s">
        <v>259</v>
      </c>
      <c r="C401" s="55" t="s">
        <v>669</v>
      </c>
      <c r="D401" s="18"/>
      <c r="E401" s="150" t="s">
        <v>989</v>
      </c>
      <c r="F401" s="18"/>
      <c r="G401" s="13" t="s">
        <v>990</v>
      </c>
      <c r="H401" s="13" t="s">
        <v>263</v>
      </c>
      <c r="I401" s="13" t="s">
        <v>672</v>
      </c>
      <c r="J401" s="13" t="s">
        <v>673</v>
      </c>
      <c r="K401" s="13" t="s">
        <v>991</v>
      </c>
      <c r="L401" s="13" t="s">
        <v>982</v>
      </c>
      <c r="M401" s="159"/>
      <c r="N401" s="18"/>
      <c r="O401" s="38"/>
    </row>
    <row r="402" spans="1:15" ht="113.25" customHeight="1">
      <c r="A402" s="54">
        <v>390</v>
      </c>
      <c r="B402" s="152" t="s">
        <v>259</v>
      </c>
      <c r="C402" s="119" t="s">
        <v>669</v>
      </c>
      <c r="D402" s="18"/>
      <c r="E402" s="150" t="s">
        <v>992</v>
      </c>
      <c r="F402" s="18"/>
      <c r="G402" s="13" t="s">
        <v>987</v>
      </c>
      <c r="H402" s="151" t="s">
        <v>268</v>
      </c>
      <c r="I402" s="13" t="s">
        <v>679</v>
      </c>
      <c r="J402" s="13" t="s">
        <v>680</v>
      </c>
      <c r="K402" s="13" t="s">
        <v>993</v>
      </c>
      <c r="L402" s="13" t="s">
        <v>979</v>
      </c>
      <c r="M402" s="159"/>
      <c r="N402" s="18"/>
      <c r="O402" s="38"/>
    </row>
    <row r="403" spans="1:15" ht="112.5" customHeight="1">
      <c r="A403" s="54">
        <v>391</v>
      </c>
      <c r="B403" s="186" t="s">
        <v>259</v>
      </c>
      <c r="C403" s="55" t="s">
        <v>669</v>
      </c>
      <c r="D403" s="18"/>
      <c r="E403" s="150" t="s">
        <v>989</v>
      </c>
      <c r="F403" s="18"/>
      <c r="G403" s="13" t="s">
        <v>987</v>
      </c>
      <c r="H403" s="151" t="s">
        <v>268</v>
      </c>
      <c r="I403" s="13" t="s">
        <v>679</v>
      </c>
      <c r="J403" s="13" t="s">
        <v>680</v>
      </c>
      <c r="K403" s="13" t="s">
        <v>994</v>
      </c>
      <c r="L403" s="13" t="s">
        <v>985</v>
      </c>
      <c r="M403" s="159"/>
      <c r="N403" s="18"/>
      <c r="O403" s="38"/>
    </row>
    <row r="404" spans="1:15" ht="111.75" customHeight="1">
      <c r="A404" s="54">
        <v>392</v>
      </c>
      <c r="B404" s="152" t="s">
        <v>259</v>
      </c>
      <c r="C404" s="119" t="s">
        <v>669</v>
      </c>
      <c r="D404" s="18"/>
      <c r="E404" s="150" t="s">
        <v>995</v>
      </c>
      <c r="F404" s="18"/>
      <c r="G404" s="13" t="s">
        <v>996</v>
      </c>
      <c r="H404" s="13" t="s">
        <v>263</v>
      </c>
      <c r="I404" s="13" t="s">
        <v>672</v>
      </c>
      <c r="J404" s="13" t="s">
        <v>673</v>
      </c>
      <c r="K404" s="13" t="s">
        <v>997</v>
      </c>
      <c r="L404" s="13" t="s">
        <v>979</v>
      </c>
      <c r="M404" s="159"/>
      <c r="N404" s="18"/>
      <c r="O404" s="38"/>
    </row>
    <row r="405" spans="1:15" ht="120.75" customHeight="1">
      <c r="A405" s="54">
        <v>393</v>
      </c>
      <c r="B405" s="186" t="s">
        <v>259</v>
      </c>
      <c r="C405" s="55" t="s">
        <v>669</v>
      </c>
      <c r="D405" s="18"/>
      <c r="E405" s="150" t="s">
        <v>998</v>
      </c>
      <c r="F405" s="18"/>
      <c r="G405" s="13" t="s">
        <v>996</v>
      </c>
      <c r="H405" s="13" t="s">
        <v>263</v>
      </c>
      <c r="I405" s="13" t="s">
        <v>672</v>
      </c>
      <c r="J405" s="13" t="s">
        <v>673</v>
      </c>
      <c r="K405" s="13" t="s">
        <v>999</v>
      </c>
      <c r="L405" s="13" t="s">
        <v>982</v>
      </c>
      <c r="M405" s="159"/>
      <c r="N405" s="18"/>
      <c r="O405" s="38"/>
    </row>
    <row r="406" spans="1:15" ht="111.75" customHeight="1">
      <c r="A406" s="54">
        <v>394</v>
      </c>
      <c r="B406" s="152" t="s">
        <v>259</v>
      </c>
      <c r="C406" s="119" t="s">
        <v>669</v>
      </c>
      <c r="D406" s="18"/>
      <c r="E406" s="150" t="s">
        <v>998</v>
      </c>
      <c r="F406" s="18"/>
      <c r="G406" s="13" t="s">
        <v>996</v>
      </c>
      <c r="H406" s="151" t="s">
        <v>268</v>
      </c>
      <c r="I406" s="13" t="s">
        <v>679</v>
      </c>
      <c r="J406" s="13" t="s">
        <v>680</v>
      </c>
      <c r="K406" s="13" t="s">
        <v>1000</v>
      </c>
      <c r="L406" s="13" t="s">
        <v>979</v>
      </c>
      <c r="M406" s="159"/>
      <c r="N406" s="18"/>
      <c r="O406" s="38"/>
    </row>
    <row r="407" spans="1:15" ht="118.5" customHeight="1">
      <c r="A407" s="54">
        <v>395</v>
      </c>
      <c r="B407" s="186" t="s">
        <v>259</v>
      </c>
      <c r="C407" s="55" t="s">
        <v>669</v>
      </c>
      <c r="D407" s="18"/>
      <c r="E407" s="150" t="s">
        <v>998</v>
      </c>
      <c r="F407" s="18"/>
      <c r="G407" s="13" t="s">
        <v>996</v>
      </c>
      <c r="H407" s="151" t="s">
        <v>268</v>
      </c>
      <c r="I407" s="13" t="s">
        <v>679</v>
      </c>
      <c r="J407" s="13" t="s">
        <v>680</v>
      </c>
      <c r="K407" s="13" t="s">
        <v>1001</v>
      </c>
      <c r="L407" s="13" t="s">
        <v>985</v>
      </c>
      <c r="M407" s="159"/>
      <c r="N407" s="18"/>
      <c r="O407" s="38"/>
    </row>
    <row r="408" spans="1:15" ht="113.25" customHeight="1">
      <c r="A408" s="54">
        <v>396</v>
      </c>
      <c r="B408" s="152" t="s">
        <v>259</v>
      </c>
      <c r="C408" s="119" t="s">
        <v>669</v>
      </c>
      <c r="D408" s="18"/>
      <c r="E408" s="150" t="s">
        <v>1002</v>
      </c>
      <c r="F408" s="18"/>
      <c r="G408" s="13" t="s">
        <v>1003</v>
      </c>
      <c r="H408" s="13" t="s">
        <v>263</v>
      </c>
      <c r="I408" s="13" t="s">
        <v>672</v>
      </c>
      <c r="J408" s="13" t="s">
        <v>673</v>
      </c>
      <c r="K408" s="13" t="s">
        <v>1004</v>
      </c>
      <c r="L408" s="13" t="s">
        <v>979</v>
      </c>
      <c r="M408" s="159"/>
      <c r="N408" s="18"/>
      <c r="O408" s="38"/>
    </row>
    <row r="409" spans="1:15" ht="111.75" customHeight="1">
      <c r="A409" s="54">
        <v>397</v>
      </c>
      <c r="B409" s="186" t="s">
        <v>259</v>
      </c>
      <c r="C409" s="55" t="s">
        <v>669</v>
      </c>
      <c r="D409" s="18"/>
      <c r="E409" s="150" t="s">
        <v>1005</v>
      </c>
      <c r="F409" s="18"/>
      <c r="G409" s="13" t="s">
        <v>1003</v>
      </c>
      <c r="H409" s="13" t="s">
        <v>263</v>
      </c>
      <c r="I409" s="13" t="s">
        <v>672</v>
      </c>
      <c r="J409" s="13" t="s">
        <v>673</v>
      </c>
      <c r="K409" s="13" t="s">
        <v>1006</v>
      </c>
      <c r="L409" s="13" t="s">
        <v>982</v>
      </c>
      <c r="M409" s="159"/>
      <c r="N409" s="18"/>
      <c r="O409" s="38"/>
    </row>
    <row r="410" spans="1:15" ht="111.75" customHeight="1">
      <c r="A410" s="54">
        <v>398</v>
      </c>
      <c r="B410" s="152" t="s">
        <v>259</v>
      </c>
      <c r="C410" s="119" t="s">
        <v>669</v>
      </c>
      <c r="D410" s="18"/>
      <c r="E410" s="150" t="s">
        <v>1005</v>
      </c>
      <c r="F410" s="18"/>
      <c r="G410" s="13" t="s">
        <v>1003</v>
      </c>
      <c r="H410" s="151" t="s">
        <v>268</v>
      </c>
      <c r="I410" s="13" t="s">
        <v>679</v>
      </c>
      <c r="J410" s="13" t="s">
        <v>680</v>
      </c>
      <c r="K410" s="13" t="s">
        <v>1007</v>
      </c>
      <c r="L410" s="13" t="s">
        <v>979</v>
      </c>
      <c r="M410" s="159"/>
      <c r="N410" s="18"/>
      <c r="O410" s="38"/>
    </row>
    <row r="411" spans="1:15" ht="112.5" customHeight="1">
      <c r="A411" s="54">
        <v>399</v>
      </c>
      <c r="B411" s="186" t="s">
        <v>259</v>
      </c>
      <c r="C411" s="55" t="s">
        <v>669</v>
      </c>
      <c r="D411" s="18"/>
      <c r="E411" s="150" t="s">
        <v>1005</v>
      </c>
      <c r="F411" s="18"/>
      <c r="G411" s="13" t="s">
        <v>1003</v>
      </c>
      <c r="H411" s="151" t="s">
        <v>268</v>
      </c>
      <c r="I411" s="13" t="s">
        <v>679</v>
      </c>
      <c r="J411" s="13" t="s">
        <v>680</v>
      </c>
      <c r="K411" s="13" t="s">
        <v>1008</v>
      </c>
      <c r="L411" s="13" t="s">
        <v>985</v>
      </c>
      <c r="M411" s="159"/>
      <c r="N411" s="18"/>
      <c r="O411" s="38"/>
    </row>
    <row r="412" spans="1:15" ht="113.25" customHeight="1">
      <c r="A412" s="54">
        <v>400</v>
      </c>
      <c r="B412" s="152" t="s">
        <v>259</v>
      </c>
      <c r="C412" s="119" t="s">
        <v>669</v>
      </c>
      <c r="D412" s="18"/>
      <c r="E412" s="150" t="s">
        <v>1009</v>
      </c>
      <c r="F412" s="18"/>
      <c r="G412" s="13" t="s">
        <v>1010</v>
      </c>
      <c r="H412" s="13" t="s">
        <v>263</v>
      </c>
      <c r="I412" s="13" t="s">
        <v>672</v>
      </c>
      <c r="J412" s="13" t="s">
        <v>673</v>
      </c>
      <c r="K412" s="13" t="s">
        <v>1004</v>
      </c>
      <c r="L412" s="13" t="s">
        <v>979</v>
      </c>
      <c r="M412" s="159"/>
      <c r="N412" s="18"/>
      <c r="O412" s="38"/>
    </row>
    <row r="413" spans="1:15" ht="111.75" customHeight="1">
      <c r="A413" s="54">
        <v>401</v>
      </c>
      <c r="B413" s="186" t="s">
        <v>259</v>
      </c>
      <c r="C413" s="55" t="s">
        <v>669</v>
      </c>
      <c r="D413" s="18"/>
      <c r="E413" s="150" t="s">
        <v>1011</v>
      </c>
      <c r="F413" s="18"/>
      <c r="G413" s="13" t="s">
        <v>1010</v>
      </c>
      <c r="H413" s="13" t="s">
        <v>263</v>
      </c>
      <c r="I413" s="13" t="s">
        <v>672</v>
      </c>
      <c r="J413" s="13" t="s">
        <v>673</v>
      </c>
      <c r="K413" s="13" t="s">
        <v>1006</v>
      </c>
      <c r="L413" s="13" t="s">
        <v>982</v>
      </c>
      <c r="M413" s="159"/>
      <c r="N413" s="18"/>
      <c r="O413" s="38"/>
    </row>
    <row r="414" spans="1:15" ht="117" customHeight="1">
      <c r="A414" s="54">
        <v>402</v>
      </c>
      <c r="B414" s="152" t="s">
        <v>259</v>
      </c>
      <c r="C414" s="119" t="s">
        <v>669</v>
      </c>
      <c r="D414" s="18"/>
      <c r="E414" s="150" t="s">
        <v>1011</v>
      </c>
      <c r="F414" s="18"/>
      <c r="G414" s="13" t="s">
        <v>1010</v>
      </c>
      <c r="H414" s="151" t="s">
        <v>268</v>
      </c>
      <c r="I414" s="13" t="s">
        <v>679</v>
      </c>
      <c r="J414" s="13" t="s">
        <v>680</v>
      </c>
      <c r="K414" s="13" t="s">
        <v>1007</v>
      </c>
      <c r="L414" s="13" t="s">
        <v>979</v>
      </c>
      <c r="M414" s="159"/>
      <c r="N414" s="18"/>
      <c r="O414" s="38"/>
    </row>
    <row r="415" spans="1:15" ht="117" customHeight="1">
      <c r="A415" s="54">
        <v>403</v>
      </c>
      <c r="B415" s="186" t="s">
        <v>259</v>
      </c>
      <c r="C415" s="55" t="s">
        <v>669</v>
      </c>
      <c r="D415" s="18"/>
      <c r="E415" s="150" t="s">
        <v>1011</v>
      </c>
      <c r="F415" s="18"/>
      <c r="G415" s="13" t="s">
        <v>1010</v>
      </c>
      <c r="H415" s="151" t="s">
        <v>268</v>
      </c>
      <c r="I415" s="13" t="s">
        <v>679</v>
      </c>
      <c r="J415" s="13" t="s">
        <v>680</v>
      </c>
      <c r="K415" s="13" t="s">
        <v>1008</v>
      </c>
      <c r="L415" s="13" t="s">
        <v>985</v>
      </c>
      <c r="M415" s="159"/>
      <c r="N415" s="18"/>
      <c r="O415" s="38"/>
    </row>
    <row r="416" spans="1:15" ht="111.75" customHeight="1">
      <c r="A416" s="54">
        <v>404</v>
      </c>
      <c r="B416" s="152" t="s">
        <v>259</v>
      </c>
      <c r="C416" s="119" t="s">
        <v>669</v>
      </c>
      <c r="D416" s="18"/>
      <c r="E416" s="150" t="s">
        <v>1012</v>
      </c>
      <c r="F416" s="18"/>
      <c r="G416" s="13" t="s">
        <v>1013</v>
      </c>
      <c r="H416" s="13" t="s">
        <v>263</v>
      </c>
      <c r="I416" s="13" t="s">
        <v>672</v>
      </c>
      <c r="J416" s="13" t="s">
        <v>673</v>
      </c>
      <c r="K416" s="13" t="s">
        <v>1004</v>
      </c>
      <c r="L416" s="13" t="s">
        <v>979</v>
      </c>
      <c r="M416" s="159"/>
      <c r="N416" s="18"/>
      <c r="O416" s="38"/>
    </row>
    <row r="417" spans="1:15" ht="108.75" customHeight="1">
      <c r="A417" s="54">
        <v>405</v>
      </c>
      <c r="B417" s="186" t="s">
        <v>259</v>
      </c>
      <c r="C417" s="55" t="s">
        <v>669</v>
      </c>
      <c r="D417" s="18"/>
      <c r="E417" s="150" t="s">
        <v>1014</v>
      </c>
      <c r="F417" s="18"/>
      <c r="G417" s="13" t="s">
        <v>1013</v>
      </c>
      <c r="H417" s="13" t="s">
        <v>263</v>
      </c>
      <c r="I417" s="13" t="s">
        <v>672</v>
      </c>
      <c r="J417" s="13" t="s">
        <v>673</v>
      </c>
      <c r="K417" s="13" t="s">
        <v>1006</v>
      </c>
      <c r="L417" s="13" t="s">
        <v>982</v>
      </c>
      <c r="M417" s="159"/>
      <c r="N417" s="18"/>
      <c r="O417" s="38"/>
    </row>
    <row r="418" spans="1:15" ht="109.5" customHeight="1">
      <c r="A418" s="54">
        <v>406</v>
      </c>
      <c r="B418" s="152" t="s">
        <v>259</v>
      </c>
      <c r="C418" s="119" t="s">
        <v>669</v>
      </c>
      <c r="D418" s="18"/>
      <c r="E418" s="150" t="s">
        <v>1014</v>
      </c>
      <c r="F418" s="18"/>
      <c r="G418" s="13" t="s">
        <v>1013</v>
      </c>
      <c r="H418" s="151" t="s">
        <v>268</v>
      </c>
      <c r="I418" s="13" t="s">
        <v>679</v>
      </c>
      <c r="J418" s="13" t="s">
        <v>680</v>
      </c>
      <c r="K418" s="13" t="s">
        <v>1007</v>
      </c>
      <c r="L418" s="13" t="s">
        <v>979</v>
      </c>
      <c r="M418" s="159"/>
      <c r="N418" s="18"/>
      <c r="O418" s="38"/>
    </row>
    <row r="419" spans="1:15" ht="116.25" customHeight="1">
      <c r="A419" s="54">
        <v>407</v>
      </c>
      <c r="B419" s="186" t="s">
        <v>259</v>
      </c>
      <c r="C419" s="55" t="s">
        <v>669</v>
      </c>
      <c r="D419" s="18"/>
      <c r="E419" s="150" t="s">
        <v>1014</v>
      </c>
      <c r="F419" s="18"/>
      <c r="G419" s="13" t="s">
        <v>1013</v>
      </c>
      <c r="H419" s="151" t="s">
        <v>268</v>
      </c>
      <c r="I419" s="13" t="s">
        <v>679</v>
      </c>
      <c r="J419" s="13" t="s">
        <v>680</v>
      </c>
      <c r="K419" s="13" t="s">
        <v>1008</v>
      </c>
      <c r="L419" s="13" t="s">
        <v>985</v>
      </c>
      <c r="M419" s="159"/>
      <c r="N419" s="18"/>
      <c r="O419" s="38"/>
    </row>
    <row r="420" spans="1:15" ht="115.5" customHeight="1">
      <c r="A420" s="54">
        <v>408</v>
      </c>
      <c r="B420" s="152" t="s">
        <v>259</v>
      </c>
      <c r="C420" s="119" t="s">
        <v>669</v>
      </c>
      <c r="D420" s="18"/>
      <c r="E420" s="150" t="s">
        <v>1015</v>
      </c>
      <c r="F420" s="18"/>
      <c r="G420" s="13" t="s">
        <v>1016</v>
      </c>
      <c r="H420" s="13" t="s">
        <v>263</v>
      </c>
      <c r="I420" s="13" t="s">
        <v>672</v>
      </c>
      <c r="J420" s="13" t="s">
        <v>673</v>
      </c>
      <c r="K420" s="13" t="s">
        <v>1017</v>
      </c>
      <c r="L420" s="13" t="s">
        <v>979</v>
      </c>
      <c r="M420" s="159"/>
      <c r="N420" s="18"/>
      <c r="O420" s="38"/>
    </row>
    <row r="421" spans="1:15" ht="110.25" customHeight="1">
      <c r="A421" s="54">
        <v>409</v>
      </c>
      <c r="B421" s="186" t="s">
        <v>259</v>
      </c>
      <c r="C421" s="55" t="s">
        <v>669</v>
      </c>
      <c r="D421" s="18"/>
      <c r="E421" s="150" t="s">
        <v>1018</v>
      </c>
      <c r="F421" s="18"/>
      <c r="G421" s="13" t="s">
        <v>1016</v>
      </c>
      <c r="H421" s="13" t="s">
        <v>263</v>
      </c>
      <c r="I421" s="13" t="s">
        <v>672</v>
      </c>
      <c r="J421" s="13" t="s">
        <v>673</v>
      </c>
      <c r="K421" s="13" t="s">
        <v>1019</v>
      </c>
      <c r="L421" s="13" t="s">
        <v>982</v>
      </c>
      <c r="M421" s="159"/>
      <c r="N421" s="18"/>
      <c r="O421" s="38"/>
    </row>
    <row r="422" spans="1:15" ht="114" customHeight="1">
      <c r="A422" s="54">
        <v>410</v>
      </c>
      <c r="B422" s="152" t="s">
        <v>259</v>
      </c>
      <c r="C422" s="119" t="s">
        <v>669</v>
      </c>
      <c r="D422" s="18"/>
      <c r="E422" s="150" t="s">
        <v>1018</v>
      </c>
      <c r="F422" s="18"/>
      <c r="G422" s="13" t="s">
        <v>1016</v>
      </c>
      <c r="H422" s="151" t="s">
        <v>268</v>
      </c>
      <c r="I422" s="13" t="s">
        <v>679</v>
      </c>
      <c r="J422" s="13" t="s">
        <v>680</v>
      </c>
      <c r="K422" s="13" t="s">
        <v>1020</v>
      </c>
      <c r="L422" s="13" t="s">
        <v>979</v>
      </c>
      <c r="M422" s="159"/>
      <c r="N422" s="18"/>
      <c r="O422" s="38"/>
    </row>
    <row r="423" spans="1:15" ht="114" customHeight="1">
      <c r="A423" s="54">
        <v>411</v>
      </c>
      <c r="B423" s="186" t="s">
        <v>259</v>
      </c>
      <c r="C423" s="55" t="s">
        <v>669</v>
      </c>
      <c r="D423" s="18"/>
      <c r="E423" s="150" t="s">
        <v>1018</v>
      </c>
      <c r="F423" s="18"/>
      <c r="G423" s="13" t="s">
        <v>1016</v>
      </c>
      <c r="H423" s="151" t="s">
        <v>268</v>
      </c>
      <c r="I423" s="13" t="s">
        <v>679</v>
      </c>
      <c r="J423" s="13" t="s">
        <v>680</v>
      </c>
      <c r="K423" s="13" t="s">
        <v>1021</v>
      </c>
      <c r="L423" s="13" t="s">
        <v>985</v>
      </c>
      <c r="M423" s="159"/>
      <c r="N423" s="18"/>
      <c r="O423" s="38"/>
    </row>
    <row r="424" spans="1:15" ht="118.5" customHeight="1">
      <c r="A424" s="54">
        <v>412</v>
      </c>
      <c r="B424" s="152" t="s">
        <v>259</v>
      </c>
      <c r="C424" s="119" t="s">
        <v>669</v>
      </c>
      <c r="D424" s="18"/>
      <c r="E424" s="150" t="s">
        <v>1022</v>
      </c>
      <c r="F424" s="18"/>
      <c r="G424" s="13" t="s">
        <v>1023</v>
      </c>
      <c r="H424" s="13" t="s">
        <v>263</v>
      </c>
      <c r="I424" s="13" t="s">
        <v>672</v>
      </c>
      <c r="J424" s="13" t="s">
        <v>673</v>
      </c>
      <c r="K424" s="13" t="s">
        <v>859</v>
      </c>
      <c r="L424" s="13" t="s">
        <v>979</v>
      </c>
      <c r="M424" s="159"/>
      <c r="N424" s="18"/>
      <c r="O424" s="38"/>
    </row>
    <row r="425" spans="1:15" ht="115.5" customHeight="1">
      <c r="A425" s="54">
        <v>413</v>
      </c>
      <c r="B425" s="186" t="s">
        <v>259</v>
      </c>
      <c r="C425" s="55" t="s">
        <v>669</v>
      </c>
      <c r="D425" s="18"/>
      <c r="E425" s="150" t="s">
        <v>1024</v>
      </c>
      <c r="F425" s="18"/>
      <c r="G425" s="13" t="s">
        <v>1023</v>
      </c>
      <c r="H425" s="13" t="s">
        <v>263</v>
      </c>
      <c r="I425" s="13" t="s">
        <v>672</v>
      </c>
      <c r="J425" s="13" t="s">
        <v>673</v>
      </c>
      <c r="K425" s="13" t="s">
        <v>862</v>
      </c>
      <c r="L425" s="13" t="s">
        <v>982</v>
      </c>
      <c r="M425" s="159"/>
      <c r="N425" s="18"/>
      <c r="O425" s="38"/>
    </row>
    <row r="426" spans="1:15" ht="111.75" customHeight="1">
      <c r="A426" s="54">
        <v>414</v>
      </c>
      <c r="B426" s="152" t="s">
        <v>259</v>
      </c>
      <c r="C426" s="119" t="s">
        <v>669</v>
      </c>
      <c r="D426" s="18"/>
      <c r="E426" s="150" t="s">
        <v>1025</v>
      </c>
      <c r="F426" s="18"/>
      <c r="G426" s="13" t="s">
        <v>1023</v>
      </c>
      <c r="H426" s="151" t="s">
        <v>268</v>
      </c>
      <c r="I426" s="13" t="s">
        <v>679</v>
      </c>
      <c r="J426" s="13" t="s">
        <v>680</v>
      </c>
      <c r="K426" s="13" t="s">
        <v>864</v>
      </c>
      <c r="L426" s="13" t="s">
        <v>979</v>
      </c>
      <c r="M426" s="159"/>
      <c r="N426" s="18"/>
      <c r="O426" s="38"/>
    </row>
    <row r="427" spans="1:15" ht="113.25" customHeight="1">
      <c r="A427" s="54">
        <v>415</v>
      </c>
      <c r="B427" s="186" t="s">
        <v>259</v>
      </c>
      <c r="C427" s="55" t="s">
        <v>669</v>
      </c>
      <c r="D427" s="18"/>
      <c r="E427" s="150" t="s">
        <v>1025</v>
      </c>
      <c r="F427" s="18"/>
      <c r="G427" s="13" t="s">
        <v>1023</v>
      </c>
      <c r="H427" s="151" t="s">
        <v>268</v>
      </c>
      <c r="I427" s="13" t="s">
        <v>679</v>
      </c>
      <c r="J427" s="13" t="s">
        <v>680</v>
      </c>
      <c r="K427" s="13" t="s">
        <v>866</v>
      </c>
      <c r="L427" s="13" t="s">
        <v>985</v>
      </c>
      <c r="M427" s="159"/>
      <c r="N427" s="18"/>
      <c r="O427" s="38"/>
    </row>
    <row r="428" spans="1:15" ht="121.5" customHeight="1">
      <c r="A428" s="54">
        <v>416</v>
      </c>
      <c r="B428" s="152" t="s">
        <v>259</v>
      </c>
      <c r="C428" s="119" t="s">
        <v>669</v>
      </c>
      <c r="D428" s="18"/>
      <c r="E428" s="150" t="s">
        <v>1026</v>
      </c>
      <c r="F428" s="18"/>
      <c r="G428" s="13" t="s">
        <v>1027</v>
      </c>
      <c r="H428" s="13" t="s">
        <v>263</v>
      </c>
      <c r="I428" s="13" t="s">
        <v>672</v>
      </c>
      <c r="J428" s="13" t="s">
        <v>673</v>
      </c>
      <c r="K428" s="13" t="s">
        <v>1028</v>
      </c>
      <c r="L428" s="13" t="s">
        <v>979</v>
      </c>
      <c r="M428" s="159"/>
      <c r="N428" s="18"/>
      <c r="O428" s="38"/>
    </row>
    <row r="429" spans="1:15" ht="118.5" customHeight="1">
      <c r="A429" s="54">
        <v>417</v>
      </c>
      <c r="B429" s="186" t="s">
        <v>259</v>
      </c>
      <c r="C429" s="55" t="s">
        <v>669</v>
      </c>
      <c r="D429" s="18"/>
      <c r="E429" s="150" t="s">
        <v>1029</v>
      </c>
      <c r="F429" s="18"/>
      <c r="G429" s="13" t="s">
        <v>1027</v>
      </c>
      <c r="H429" s="13" t="s">
        <v>263</v>
      </c>
      <c r="I429" s="13" t="s">
        <v>672</v>
      </c>
      <c r="J429" s="13" t="s">
        <v>673</v>
      </c>
      <c r="K429" s="13" t="s">
        <v>1030</v>
      </c>
      <c r="L429" s="13" t="s">
        <v>982</v>
      </c>
      <c r="M429" s="159"/>
      <c r="N429" s="18"/>
      <c r="O429" s="38"/>
    </row>
    <row r="430" spans="1:15" ht="113.25">
      <c r="A430" s="54">
        <v>418</v>
      </c>
      <c r="B430" s="152" t="s">
        <v>259</v>
      </c>
      <c r="C430" s="119" t="s">
        <v>669</v>
      </c>
      <c r="D430" s="18"/>
      <c r="E430" s="150" t="s">
        <v>1031</v>
      </c>
      <c r="F430" s="18"/>
      <c r="G430" s="13" t="s">
        <v>1027</v>
      </c>
      <c r="H430" s="151" t="s">
        <v>268</v>
      </c>
      <c r="I430" s="13" t="s">
        <v>679</v>
      </c>
      <c r="J430" s="13" t="s">
        <v>680</v>
      </c>
      <c r="K430" s="13" t="s">
        <v>1032</v>
      </c>
      <c r="L430" s="13" t="s">
        <v>979</v>
      </c>
      <c r="M430" s="159"/>
      <c r="N430" s="18"/>
      <c r="O430" s="38"/>
    </row>
    <row r="431" spans="1:15" ht="113.25">
      <c r="A431" s="54">
        <v>419</v>
      </c>
      <c r="B431" s="186" t="s">
        <v>259</v>
      </c>
      <c r="C431" s="55" t="s">
        <v>669</v>
      </c>
      <c r="D431" s="18"/>
      <c r="E431" s="150" t="s">
        <v>1031</v>
      </c>
      <c r="F431" s="18"/>
      <c r="G431" s="13" t="s">
        <v>1027</v>
      </c>
      <c r="H431" s="151" t="s">
        <v>268</v>
      </c>
      <c r="I431" s="13" t="s">
        <v>679</v>
      </c>
      <c r="J431" s="13" t="s">
        <v>680</v>
      </c>
      <c r="K431" s="13" t="s">
        <v>1033</v>
      </c>
      <c r="L431" s="13" t="s">
        <v>985</v>
      </c>
      <c r="M431" s="159"/>
      <c r="N431" s="18"/>
      <c r="O431" s="38"/>
    </row>
    <row r="432" spans="1:15" ht="114.75" customHeight="1">
      <c r="A432" s="54">
        <v>420</v>
      </c>
      <c r="B432" s="152" t="s">
        <v>259</v>
      </c>
      <c r="C432" s="119" t="s">
        <v>669</v>
      </c>
      <c r="D432" s="18"/>
      <c r="E432" s="150" t="s">
        <v>1034</v>
      </c>
      <c r="F432" s="18"/>
      <c r="G432" s="13" t="s">
        <v>1035</v>
      </c>
      <c r="H432" s="13" t="s">
        <v>263</v>
      </c>
      <c r="I432" s="13" t="s">
        <v>672</v>
      </c>
      <c r="J432" s="13" t="s">
        <v>673</v>
      </c>
      <c r="K432" s="13" t="s">
        <v>1036</v>
      </c>
      <c r="L432" s="13" t="s">
        <v>979</v>
      </c>
      <c r="M432" s="159"/>
      <c r="N432" s="18"/>
      <c r="O432" s="38"/>
    </row>
    <row r="433" spans="1:15" ht="115.5" customHeight="1">
      <c r="A433" s="54">
        <v>421</v>
      </c>
      <c r="B433" s="186" t="s">
        <v>259</v>
      </c>
      <c r="C433" s="55" t="s">
        <v>669</v>
      </c>
      <c r="D433" s="18"/>
      <c r="E433" s="150" t="s">
        <v>1037</v>
      </c>
      <c r="F433" s="18"/>
      <c r="G433" s="13" t="s">
        <v>1035</v>
      </c>
      <c r="H433" s="13" t="s">
        <v>263</v>
      </c>
      <c r="I433" s="13" t="s">
        <v>672</v>
      </c>
      <c r="J433" s="13" t="s">
        <v>673</v>
      </c>
      <c r="K433" s="13" t="s">
        <v>1038</v>
      </c>
      <c r="L433" s="13" t="s">
        <v>982</v>
      </c>
      <c r="M433" s="159"/>
      <c r="N433" s="18"/>
      <c r="O433" s="38"/>
    </row>
    <row r="434" spans="1:15" ht="117.75" customHeight="1">
      <c r="A434" s="54">
        <v>422</v>
      </c>
      <c r="B434" s="152" t="s">
        <v>259</v>
      </c>
      <c r="C434" s="119" t="s">
        <v>669</v>
      </c>
      <c r="D434" s="18"/>
      <c r="E434" s="150" t="s">
        <v>1039</v>
      </c>
      <c r="F434" s="18"/>
      <c r="G434" s="13" t="s">
        <v>1035</v>
      </c>
      <c r="H434" s="151" t="s">
        <v>268</v>
      </c>
      <c r="I434" s="13" t="s">
        <v>679</v>
      </c>
      <c r="J434" s="13" t="s">
        <v>680</v>
      </c>
      <c r="K434" s="13" t="s">
        <v>1040</v>
      </c>
      <c r="L434" s="13" t="s">
        <v>979</v>
      </c>
      <c r="M434" s="159"/>
      <c r="N434" s="18"/>
      <c r="O434" s="38"/>
    </row>
    <row r="435" spans="1:15" ht="120" customHeight="1">
      <c r="A435" s="54">
        <v>423</v>
      </c>
      <c r="B435" s="186" t="s">
        <v>259</v>
      </c>
      <c r="C435" s="55" t="s">
        <v>669</v>
      </c>
      <c r="D435" s="18"/>
      <c r="E435" s="150" t="s">
        <v>1039</v>
      </c>
      <c r="F435" s="18"/>
      <c r="G435" s="13" t="s">
        <v>1035</v>
      </c>
      <c r="H435" s="151" t="s">
        <v>268</v>
      </c>
      <c r="I435" s="13" t="s">
        <v>679</v>
      </c>
      <c r="J435" s="13" t="s">
        <v>680</v>
      </c>
      <c r="K435" s="13" t="s">
        <v>1041</v>
      </c>
      <c r="L435" s="13" t="s">
        <v>985</v>
      </c>
      <c r="M435" s="159"/>
      <c r="N435" s="18"/>
      <c r="O435" s="38"/>
    </row>
    <row r="436" spans="1:15" ht="114.75" customHeight="1">
      <c r="A436" s="54">
        <v>424</v>
      </c>
      <c r="B436" s="152" t="s">
        <v>259</v>
      </c>
      <c r="C436" s="119" t="s">
        <v>669</v>
      </c>
      <c r="D436" s="18"/>
      <c r="E436" s="150" t="s">
        <v>1042</v>
      </c>
      <c r="F436" s="18"/>
      <c r="G436" s="13" t="s">
        <v>1043</v>
      </c>
      <c r="H436" s="13" t="s">
        <v>263</v>
      </c>
      <c r="I436" s="13" t="s">
        <v>672</v>
      </c>
      <c r="J436" s="13" t="s">
        <v>673</v>
      </c>
      <c r="K436" s="13" t="s">
        <v>1044</v>
      </c>
      <c r="L436" s="13" t="s">
        <v>979</v>
      </c>
      <c r="M436" s="159"/>
      <c r="N436" s="18"/>
      <c r="O436" s="38"/>
    </row>
    <row r="437" spans="1:15" ht="116.25" customHeight="1">
      <c r="A437" s="54">
        <v>425</v>
      </c>
      <c r="B437" s="186" t="s">
        <v>259</v>
      </c>
      <c r="C437" s="55" t="s">
        <v>669</v>
      </c>
      <c r="D437" s="18"/>
      <c r="E437" s="150" t="s">
        <v>1045</v>
      </c>
      <c r="F437" s="18"/>
      <c r="G437" s="13" t="s">
        <v>1043</v>
      </c>
      <c r="H437" s="13" t="s">
        <v>263</v>
      </c>
      <c r="I437" s="13" t="s">
        <v>672</v>
      </c>
      <c r="J437" s="13" t="s">
        <v>673</v>
      </c>
      <c r="K437" s="13" t="s">
        <v>1046</v>
      </c>
      <c r="L437" s="13" t="s">
        <v>982</v>
      </c>
      <c r="M437" s="159"/>
      <c r="N437" s="18"/>
      <c r="O437" s="38"/>
    </row>
    <row r="438" spans="1:15" ht="111.75" customHeight="1">
      <c r="A438" s="54">
        <v>426</v>
      </c>
      <c r="B438" s="152" t="s">
        <v>259</v>
      </c>
      <c r="C438" s="119" t="s">
        <v>669</v>
      </c>
      <c r="D438" s="18"/>
      <c r="E438" s="150" t="s">
        <v>1047</v>
      </c>
      <c r="F438" s="18"/>
      <c r="G438" s="13" t="s">
        <v>1043</v>
      </c>
      <c r="H438" s="151" t="s">
        <v>268</v>
      </c>
      <c r="I438" s="13" t="s">
        <v>679</v>
      </c>
      <c r="J438" s="13" t="s">
        <v>680</v>
      </c>
      <c r="K438" s="13" t="s">
        <v>1048</v>
      </c>
      <c r="L438" s="13" t="s">
        <v>979</v>
      </c>
      <c r="M438" s="159"/>
      <c r="N438" s="18"/>
      <c r="O438" s="38"/>
    </row>
    <row r="439" spans="1:15" ht="112.5" customHeight="1">
      <c r="A439" s="54">
        <v>427</v>
      </c>
      <c r="B439" s="186" t="s">
        <v>259</v>
      </c>
      <c r="C439" s="55" t="s">
        <v>669</v>
      </c>
      <c r="D439" s="18"/>
      <c r="E439" s="150" t="s">
        <v>1047</v>
      </c>
      <c r="F439" s="18"/>
      <c r="G439" s="13" t="s">
        <v>1043</v>
      </c>
      <c r="H439" s="151" t="s">
        <v>268</v>
      </c>
      <c r="I439" s="13" t="s">
        <v>679</v>
      </c>
      <c r="J439" s="13" t="s">
        <v>680</v>
      </c>
      <c r="K439" s="13" t="s">
        <v>1049</v>
      </c>
      <c r="L439" s="13" t="s">
        <v>985</v>
      </c>
      <c r="M439" s="159"/>
      <c r="N439" s="18"/>
      <c r="O439" s="38"/>
    </row>
    <row r="440" spans="1:15" ht="112.5" customHeight="1">
      <c r="A440" s="54">
        <v>428</v>
      </c>
      <c r="B440" s="152" t="s">
        <v>259</v>
      </c>
      <c r="C440" s="119" t="s">
        <v>669</v>
      </c>
      <c r="D440" s="18"/>
      <c r="E440" s="150" t="s">
        <v>1050</v>
      </c>
      <c r="F440" s="18"/>
      <c r="G440" s="13" t="s">
        <v>1051</v>
      </c>
      <c r="H440" s="13" t="s">
        <v>263</v>
      </c>
      <c r="I440" s="13" t="s">
        <v>672</v>
      </c>
      <c r="J440" s="13" t="s">
        <v>673</v>
      </c>
      <c r="K440" s="13" t="s">
        <v>1044</v>
      </c>
      <c r="L440" s="13" t="s">
        <v>979</v>
      </c>
      <c r="M440" s="159"/>
      <c r="N440" s="18"/>
      <c r="O440" s="38"/>
    </row>
    <row r="441" spans="1:15" ht="114.75" customHeight="1">
      <c r="A441" s="54">
        <v>429</v>
      </c>
      <c r="B441" s="186" t="s">
        <v>259</v>
      </c>
      <c r="C441" s="55" t="s">
        <v>669</v>
      </c>
      <c r="D441" s="18"/>
      <c r="E441" s="150" t="s">
        <v>1052</v>
      </c>
      <c r="F441" s="18"/>
      <c r="G441" s="13" t="s">
        <v>1051</v>
      </c>
      <c r="H441" s="13" t="s">
        <v>263</v>
      </c>
      <c r="I441" s="13" t="s">
        <v>672</v>
      </c>
      <c r="J441" s="13" t="s">
        <v>673</v>
      </c>
      <c r="K441" s="13" t="s">
        <v>1046</v>
      </c>
      <c r="L441" s="13" t="s">
        <v>982</v>
      </c>
      <c r="M441" s="159"/>
      <c r="N441" s="18"/>
      <c r="O441" s="38"/>
    </row>
    <row r="442" spans="1:15" ht="117.75" customHeight="1">
      <c r="A442" s="54">
        <v>430</v>
      </c>
      <c r="B442" s="152" t="s">
        <v>259</v>
      </c>
      <c r="C442" s="119" t="s">
        <v>669</v>
      </c>
      <c r="D442" s="18"/>
      <c r="E442" s="150" t="s">
        <v>1053</v>
      </c>
      <c r="F442" s="18"/>
      <c r="G442" s="13" t="s">
        <v>1051</v>
      </c>
      <c r="H442" s="151" t="s">
        <v>268</v>
      </c>
      <c r="I442" s="13" t="s">
        <v>679</v>
      </c>
      <c r="J442" s="13" t="s">
        <v>680</v>
      </c>
      <c r="K442" s="13" t="s">
        <v>1048</v>
      </c>
      <c r="L442" s="13" t="s">
        <v>979</v>
      </c>
      <c r="M442" s="159"/>
      <c r="N442" s="18"/>
      <c r="O442" s="38"/>
    </row>
    <row r="443" spans="1:15" ht="111" customHeight="1">
      <c r="A443" s="54">
        <v>431</v>
      </c>
      <c r="B443" s="186" t="s">
        <v>259</v>
      </c>
      <c r="C443" s="55" t="s">
        <v>669</v>
      </c>
      <c r="D443" s="18"/>
      <c r="E443" s="150" t="s">
        <v>1053</v>
      </c>
      <c r="F443" s="18"/>
      <c r="G443" s="13" t="s">
        <v>1051</v>
      </c>
      <c r="H443" s="151" t="s">
        <v>268</v>
      </c>
      <c r="I443" s="13" t="s">
        <v>679</v>
      </c>
      <c r="J443" s="13" t="s">
        <v>680</v>
      </c>
      <c r="K443" s="13" t="s">
        <v>1049</v>
      </c>
      <c r="L443" s="13" t="s">
        <v>985</v>
      </c>
      <c r="M443" s="159"/>
      <c r="N443" s="18"/>
      <c r="O443" s="38"/>
    </row>
    <row r="444" spans="1:15">
      <c r="A444" s="54">
        <v>432</v>
      </c>
      <c r="B444" s="18"/>
      <c r="C444" s="18"/>
      <c r="D444" s="18"/>
      <c r="E444" s="14"/>
      <c r="F444" s="18"/>
      <c r="G444" s="13"/>
      <c r="H444" s="14"/>
      <c r="I444" s="14"/>
      <c r="J444" s="18"/>
      <c r="K444" s="14"/>
      <c r="L444" s="18"/>
      <c r="M444" s="159"/>
      <c r="N444" s="18"/>
      <c r="O444" s="38"/>
    </row>
    <row r="445" spans="1:15">
      <c r="A445" s="18"/>
      <c r="B445" s="18"/>
      <c r="C445" s="18"/>
      <c r="D445" s="18"/>
      <c r="E445" s="14"/>
      <c r="F445" s="18"/>
      <c r="G445" s="13"/>
      <c r="H445" s="14"/>
      <c r="I445" s="14"/>
      <c r="J445" s="18"/>
      <c r="K445" s="14"/>
      <c r="L445" s="18"/>
      <c r="M445" s="159"/>
      <c r="N445" s="18"/>
      <c r="O445" s="38"/>
    </row>
    <row r="446" spans="1:15">
      <c r="A446" s="18"/>
      <c r="B446" s="18"/>
      <c r="C446" s="18"/>
      <c r="D446" s="18"/>
      <c r="E446" s="14"/>
      <c r="F446" s="18"/>
      <c r="G446" s="13"/>
      <c r="H446" s="14"/>
      <c r="I446" s="14"/>
      <c r="J446" s="18"/>
      <c r="K446" s="14"/>
      <c r="L446" s="18"/>
      <c r="M446" s="159"/>
      <c r="N446" s="18"/>
      <c r="O446" s="38"/>
    </row>
    <row r="447" spans="1:15">
      <c r="A447" s="18"/>
      <c r="B447" s="18"/>
      <c r="C447" s="18"/>
      <c r="D447" s="18"/>
      <c r="E447" s="14"/>
      <c r="F447" s="18"/>
      <c r="G447" s="13"/>
      <c r="H447" s="14"/>
      <c r="I447" s="14"/>
      <c r="J447" s="18"/>
      <c r="K447" s="14"/>
      <c r="L447" s="18"/>
      <c r="M447" s="159"/>
      <c r="N447" s="18"/>
      <c r="O447" s="38"/>
    </row>
    <row r="448" spans="1:15">
      <c r="A448" s="18"/>
      <c r="B448" s="18"/>
      <c r="C448" s="18"/>
      <c r="D448" s="18"/>
      <c r="E448" s="14"/>
      <c r="F448" s="18"/>
      <c r="G448" s="13"/>
      <c r="H448" s="14"/>
      <c r="I448" s="14"/>
      <c r="J448" s="18"/>
      <c r="K448" s="14"/>
      <c r="L448" s="18"/>
      <c r="M448" s="159"/>
      <c r="N448" s="18"/>
      <c r="O448" s="38"/>
    </row>
    <row r="449" spans="1:15">
      <c r="A449" s="18"/>
      <c r="B449" s="18"/>
      <c r="C449" s="18"/>
      <c r="D449" s="18"/>
      <c r="E449" s="14"/>
      <c r="F449" s="18"/>
      <c r="G449" s="13"/>
      <c r="H449" s="14"/>
      <c r="I449" s="14"/>
      <c r="J449" s="18"/>
      <c r="K449" s="14"/>
      <c r="L449" s="18"/>
      <c r="M449" s="159"/>
      <c r="N449" s="18"/>
      <c r="O449" s="38"/>
    </row>
    <row r="450" spans="1:15">
      <c r="A450" s="18"/>
      <c r="B450" s="18"/>
      <c r="C450" s="18"/>
      <c r="D450" s="18"/>
      <c r="E450" s="14"/>
      <c r="F450" s="18"/>
      <c r="G450" s="13"/>
      <c r="H450" s="14"/>
      <c r="I450" s="14"/>
      <c r="J450" s="18"/>
      <c r="K450" s="14"/>
      <c r="L450" s="18"/>
      <c r="M450" s="159"/>
      <c r="N450" s="18"/>
      <c r="O450" s="38"/>
    </row>
    <row r="451" spans="1:15">
      <c r="A451" s="18"/>
      <c r="B451" s="18"/>
      <c r="C451" s="18"/>
      <c r="D451" s="18"/>
      <c r="E451" s="14"/>
      <c r="F451" s="18"/>
      <c r="G451" s="13"/>
      <c r="H451" s="14"/>
      <c r="I451" s="14"/>
      <c r="J451" s="18"/>
      <c r="K451" s="14"/>
      <c r="L451" s="18"/>
      <c r="M451" s="159"/>
      <c r="N451" s="18"/>
      <c r="O451" s="38"/>
    </row>
    <row r="452" spans="1:15">
      <c r="A452" s="18"/>
      <c r="B452" s="18"/>
      <c r="C452" s="18"/>
      <c r="D452" s="18"/>
      <c r="E452" s="14"/>
      <c r="F452" s="18"/>
      <c r="G452" s="13"/>
      <c r="H452" s="14"/>
      <c r="I452" s="14"/>
      <c r="J452" s="18"/>
      <c r="K452" s="14"/>
      <c r="L452" s="18"/>
      <c r="M452" s="159"/>
      <c r="N452" s="18"/>
      <c r="O452" s="38"/>
    </row>
    <row r="453" spans="1:15">
      <c r="A453" s="18"/>
      <c r="B453" s="18"/>
      <c r="C453" s="18"/>
      <c r="D453" s="18"/>
      <c r="E453" s="14"/>
      <c r="F453" s="18"/>
      <c r="G453" s="13"/>
      <c r="H453" s="14"/>
      <c r="I453" s="14"/>
      <c r="J453" s="18"/>
      <c r="K453" s="14"/>
      <c r="L453" s="18"/>
      <c r="M453" s="159"/>
      <c r="N453" s="18"/>
      <c r="O453" s="38"/>
    </row>
    <row r="454" spans="1:15">
      <c r="A454" s="18"/>
      <c r="B454" s="18"/>
      <c r="C454" s="18"/>
      <c r="D454" s="18"/>
      <c r="E454" s="14"/>
      <c r="F454" s="18"/>
      <c r="G454" s="13"/>
      <c r="H454" s="14"/>
      <c r="I454" s="14"/>
      <c r="J454" s="18"/>
      <c r="K454" s="14"/>
      <c r="L454" s="18"/>
      <c r="M454" s="159"/>
      <c r="N454" s="18"/>
      <c r="O454" s="38"/>
    </row>
    <row r="455" spans="1:15">
      <c r="A455" s="18"/>
      <c r="B455" s="18"/>
      <c r="C455" s="18"/>
      <c r="D455" s="18"/>
      <c r="E455" s="14"/>
      <c r="F455" s="18"/>
      <c r="G455" s="13"/>
      <c r="H455" s="14"/>
      <c r="I455" s="14"/>
      <c r="J455" s="18"/>
      <c r="K455" s="14"/>
      <c r="L455" s="18"/>
      <c r="M455" s="159"/>
      <c r="N455" s="18"/>
      <c r="O455" s="38"/>
    </row>
    <row r="456" spans="1:15">
      <c r="A456" s="18"/>
      <c r="B456" s="18"/>
      <c r="C456" s="18"/>
      <c r="D456" s="18"/>
      <c r="E456" s="14"/>
      <c r="F456" s="18"/>
      <c r="G456" s="13"/>
      <c r="H456" s="14"/>
      <c r="I456" s="14"/>
      <c r="J456" s="18"/>
      <c r="K456" s="14"/>
      <c r="L456" s="18"/>
      <c r="M456" s="159"/>
      <c r="N456" s="18"/>
      <c r="O456" s="38"/>
    </row>
    <row r="457" spans="1:15">
      <c r="A457" s="18"/>
      <c r="B457" s="18"/>
      <c r="C457" s="18"/>
      <c r="D457" s="18"/>
      <c r="E457" s="14"/>
      <c r="F457" s="18"/>
      <c r="G457" s="13"/>
      <c r="H457" s="14"/>
      <c r="I457" s="14"/>
      <c r="J457" s="18"/>
      <c r="K457" s="14"/>
      <c r="L457" s="18"/>
      <c r="M457" s="159"/>
      <c r="N457" s="18"/>
      <c r="O457" s="38"/>
    </row>
    <row r="458" spans="1:15">
      <c r="A458" s="18"/>
      <c r="B458" s="18"/>
      <c r="C458" s="18"/>
      <c r="D458" s="18"/>
      <c r="E458" s="14"/>
      <c r="F458" s="18"/>
      <c r="G458" s="13"/>
      <c r="H458" s="14"/>
      <c r="I458" s="14"/>
      <c r="J458" s="18"/>
      <c r="K458" s="14"/>
      <c r="L458" s="18"/>
      <c r="M458" s="159"/>
      <c r="N458" s="18"/>
      <c r="O458" s="38"/>
    </row>
    <row r="459" spans="1:15">
      <c r="A459" s="18"/>
      <c r="B459" s="18"/>
      <c r="C459" s="18"/>
      <c r="D459" s="18"/>
      <c r="E459" s="14"/>
      <c r="F459" s="18"/>
      <c r="G459" s="13"/>
      <c r="H459" s="14"/>
      <c r="I459" s="14"/>
      <c r="J459" s="18"/>
      <c r="K459" s="14"/>
      <c r="L459" s="18"/>
      <c r="M459" s="159"/>
      <c r="N459" s="18"/>
      <c r="O459" s="38"/>
    </row>
    <row r="460" spans="1:15">
      <c r="A460" s="18"/>
      <c r="B460" s="18"/>
      <c r="C460" s="18"/>
      <c r="D460" s="18"/>
      <c r="E460" s="14"/>
      <c r="F460" s="18"/>
      <c r="G460" s="13"/>
      <c r="H460" s="14"/>
      <c r="I460" s="14"/>
      <c r="J460" s="18"/>
      <c r="K460" s="14"/>
      <c r="L460" s="18"/>
      <c r="M460" s="159"/>
      <c r="N460" s="18"/>
      <c r="O460" s="38"/>
    </row>
    <row r="461" spans="1:15">
      <c r="A461" s="18"/>
      <c r="B461" s="18"/>
      <c r="C461" s="18"/>
      <c r="D461" s="18"/>
      <c r="E461" s="14"/>
      <c r="F461" s="18"/>
      <c r="G461" s="13"/>
      <c r="H461" s="14"/>
      <c r="I461" s="14"/>
      <c r="J461" s="18"/>
      <c r="K461" s="14"/>
      <c r="L461" s="18"/>
      <c r="M461" s="159"/>
      <c r="N461" s="18"/>
      <c r="O461" s="38"/>
    </row>
    <row r="462" spans="1:15">
      <c r="A462" s="18"/>
      <c r="B462" s="18"/>
      <c r="C462" s="18"/>
      <c r="D462" s="18"/>
      <c r="E462" s="14"/>
      <c r="F462" s="18"/>
      <c r="G462" s="13"/>
      <c r="H462" s="14"/>
      <c r="I462" s="14"/>
      <c r="J462" s="18"/>
      <c r="K462" s="14"/>
      <c r="L462" s="18"/>
      <c r="M462" s="159"/>
      <c r="N462" s="18"/>
      <c r="O462" s="38"/>
    </row>
    <row r="463" spans="1:15">
      <c r="A463" s="18"/>
      <c r="B463" s="18"/>
      <c r="C463" s="18"/>
      <c r="D463" s="18"/>
      <c r="E463" s="14"/>
      <c r="F463" s="18"/>
      <c r="G463" s="13"/>
      <c r="H463" s="14"/>
      <c r="I463" s="14"/>
      <c r="J463" s="18"/>
      <c r="K463" s="14"/>
      <c r="L463" s="18"/>
      <c r="M463" s="159"/>
      <c r="N463" s="18"/>
      <c r="O463" s="38"/>
    </row>
    <row r="464" spans="1:15">
      <c r="A464" s="18"/>
      <c r="B464" s="18"/>
      <c r="C464" s="18"/>
      <c r="D464" s="18"/>
      <c r="E464" s="14"/>
      <c r="F464" s="18"/>
      <c r="G464" s="13"/>
      <c r="H464" s="14"/>
      <c r="I464" s="14"/>
      <c r="J464" s="18"/>
      <c r="K464" s="14"/>
      <c r="L464" s="18"/>
      <c r="M464" s="159"/>
      <c r="N464" s="18"/>
      <c r="O464" s="38"/>
    </row>
    <row r="465" spans="1:15">
      <c r="A465" s="18"/>
      <c r="B465" s="18"/>
      <c r="C465" s="18"/>
      <c r="D465" s="18"/>
      <c r="E465" s="14"/>
      <c r="F465" s="18"/>
      <c r="G465" s="13"/>
      <c r="H465" s="14"/>
      <c r="I465" s="14"/>
      <c r="J465" s="18"/>
      <c r="K465" s="14"/>
      <c r="L465" s="18"/>
      <c r="M465" s="159"/>
      <c r="N465" s="18"/>
      <c r="O465" s="38"/>
    </row>
    <row r="466" spans="1:15">
      <c r="A466" s="18"/>
      <c r="B466" s="18"/>
      <c r="C466" s="18"/>
      <c r="D466" s="18"/>
      <c r="E466" s="14"/>
      <c r="F466" s="18"/>
      <c r="G466" s="13"/>
      <c r="H466" s="14"/>
      <c r="I466" s="14"/>
      <c r="J466" s="18"/>
      <c r="K466" s="14"/>
      <c r="L466" s="18"/>
      <c r="M466" s="159"/>
      <c r="N466" s="18"/>
      <c r="O466" s="38"/>
    </row>
    <row r="467" spans="1:15">
      <c r="A467" s="18"/>
      <c r="B467" s="18"/>
      <c r="C467" s="18"/>
      <c r="D467" s="18"/>
      <c r="E467" s="14"/>
      <c r="F467" s="18"/>
      <c r="G467" s="13"/>
      <c r="H467" s="14"/>
      <c r="I467" s="14"/>
      <c r="J467" s="18"/>
      <c r="K467" s="14"/>
      <c r="L467" s="18"/>
      <c r="M467" s="159"/>
      <c r="N467" s="18"/>
      <c r="O467" s="38"/>
    </row>
    <row r="468" spans="1:15">
      <c r="A468" s="18"/>
      <c r="B468" s="18"/>
      <c r="C468" s="18"/>
      <c r="D468" s="18"/>
      <c r="E468" s="14"/>
      <c r="F468" s="18"/>
      <c r="G468" s="13"/>
      <c r="H468" s="14"/>
      <c r="I468" s="14"/>
      <c r="J468" s="18"/>
      <c r="K468" s="14"/>
      <c r="L468" s="18"/>
      <c r="M468" s="159"/>
      <c r="N468" s="18"/>
      <c r="O468" s="38"/>
    </row>
    <row r="469" spans="1:15">
      <c r="A469" s="18"/>
      <c r="B469" s="18"/>
      <c r="C469" s="18"/>
      <c r="D469" s="18"/>
      <c r="E469" s="14"/>
      <c r="F469" s="18"/>
      <c r="G469" s="13"/>
      <c r="H469" s="14"/>
      <c r="I469" s="14"/>
      <c r="J469" s="18"/>
      <c r="K469" s="14"/>
      <c r="L469" s="18"/>
      <c r="M469" s="159"/>
      <c r="N469" s="18"/>
      <c r="O469" s="38"/>
    </row>
    <row r="470" spans="1:15">
      <c r="A470" s="18"/>
      <c r="B470" s="18"/>
      <c r="C470" s="18"/>
      <c r="D470" s="18"/>
      <c r="E470" s="14"/>
      <c r="F470" s="18"/>
      <c r="G470" s="13"/>
      <c r="H470" s="14"/>
      <c r="I470" s="14"/>
      <c r="J470" s="18"/>
      <c r="K470" s="14"/>
      <c r="L470" s="18"/>
      <c r="M470" s="159"/>
      <c r="N470" s="18"/>
      <c r="O470" s="38"/>
    </row>
    <row r="471" spans="1:15">
      <c r="A471" s="18"/>
      <c r="B471" s="18"/>
      <c r="C471" s="18"/>
      <c r="D471" s="18"/>
      <c r="E471" s="14"/>
      <c r="F471" s="18"/>
      <c r="G471" s="13"/>
      <c r="H471" s="14"/>
      <c r="I471" s="14"/>
      <c r="J471" s="18"/>
      <c r="K471" s="14"/>
      <c r="L471" s="18"/>
      <c r="M471" s="159"/>
      <c r="N471" s="18"/>
      <c r="O471" s="38"/>
    </row>
    <row r="472" spans="1:15">
      <c r="A472" s="18"/>
      <c r="B472" s="18"/>
      <c r="C472" s="18"/>
      <c r="D472" s="18"/>
      <c r="E472" s="14"/>
      <c r="F472" s="18"/>
      <c r="G472" s="13"/>
      <c r="H472" s="14"/>
      <c r="I472" s="14"/>
      <c r="J472" s="18"/>
      <c r="K472" s="14"/>
      <c r="L472" s="18"/>
      <c r="M472" s="159"/>
      <c r="N472" s="18"/>
      <c r="O472" s="38"/>
    </row>
    <row r="473" spans="1:15">
      <c r="A473" s="18"/>
      <c r="B473" s="18"/>
      <c r="C473" s="18"/>
      <c r="D473" s="18"/>
      <c r="E473" s="14"/>
      <c r="F473" s="18"/>
      <c r="G473" s="13"/>
      <c r="H473" s="14"/>
      <c r="I473" s="14"/>
      <c r="J473" s="18"/>
      <c r="K473" s="14"/>
      <c r="L473" s="18"/>
      <c r="M473" s="159"/>
      <c r="N473" s="18"/>
      <c r="O473" s="38"/>
    </row>
    <row r="474" spans="1:15">
      <c r="A474" s="18"/>
      <c r="B474" s="18"/>
      <c r="C474" s="18"/>
      <c r="D474" s="18"/>
      <c r="E474" s="14"/>
      <c r="F474" s="18"/>
      <c r="G474" s="13"/>
      <c r="H474" s="14"/>
      <c r="I474" s="14"/>
      <c r="J474" s="18"/>
      <c r="K474" s="14"/>
      <c r="L474" s="18"/>
      <c r="M474" s="159"/>
      <c r="N474" s="18"/>
      <c r="O474" s="38"/>
    </row>
    <row r="475" spans="1:15">
      <c r="A475" s="18"/>
      <c r="B475" s="18"/>
      <c r="C475" s="18"/>
      <c r="D475" s="18"/>
      <c r="E475" s="14"/>
      <c r="F475" s="18"/>
      <c r="G475" s="13"/>
      <c r="H475" s="14"/>
      <c r="I475" s="14"/>
      <c r="J475" s="18"/>
      <c r="K475" s="14"/>
      <c r="L475" s="18"/>
      <c r="M475" s="159"/>
      <c r="N475" s="18"/>
      <c r="O475" s="38"/>
    </row>
    <row r="476" spans="1:15">
      <c r="A476" s="18"/>
      <c r="B476" s="18"/>
      <c r="C476" s="18"/>
      <c r="D476" s="18"/>
      <c r="E476" s="14"/>
      <c r="F476" s="18"/>
      <c r="G476" s="13"/>
      <c r="H476" s="14"/>
      <c r="I476" s="14"/>
      <c r="J476" s="18"/>
      <c r="K476" s="14"/>
      <c r="L476" s="18"/>
      <c r="M476" s="159"/>
      <c r="N476" s="18"/>
      <c r="O476" s="38"/>
    </row>
    <row r="477" spans="1:15">
      <c r="A477" s="18"/>
      <c r="B477" s="18"/>
      <c r="C477" s="18"/>
      <c r="D477" s="18"/>
      <c r="E477" s="14"/>
      <c r="F477" s="18"/>
      <c r="G477" s="13"/>
      <c r="H477" s="14"/>
      <c r="I477" s="14"/>
      <c r="J477" s="18"/>
      <c r="K477" s="14"/>
      <c r="L477" s="18"/>
      <c r="M477" s="159"/>
      <c r="N477" s="18"/>
      <c r="O477" s="38"/>
    </row>
    <row r="478" spans="1:15">
      <c r="A478" s="18"/>
      <c r="B478" s="18"/>
      <c r="C478" s="18"/>
      <c r="D478" s="18"/>
      <c r="E478" s="14"/>
      <c r="F478" s="18"/>
      <c r="G478" s="13"/>
      <c r="H478" s="14"/>
      <c r="I478" s="14"/>
      <c r="J478" s="18"/>
      <c r="K478" s="14"/>
      <c r="L478" s="18"/>
      <c r="M478" s="159"/>
      <c r="N478" s="18"/>
      <c r="O478" s="38"/>
    </row>
    <row r="479" spans="1:15">
      <c r="A479" s="18"/>
      <c r="B479" s="18"/>
      <c r="C479" s="18"/>
      <c r="D479" s="18"/>
      <c r="E479" s="14"/>
      <c r="F479" s="18"/>
      <c r="G479" s="13"/>
      <c r="H479" s="14"/>
      <c r="I479" s="14"/>
      <c r="J479" s="18"/>
      <c r="K479" s="14"/>
      <c r="L479" s="18"/>
      <c r="M479" s="159"/>
      <c r="N479" s="18"/>
      <c r="O479" s="38"/>
    </row>
    <row r="480" spans="1:15">
      <c r="A480" s="18"/>
      <c r="B480" s="18"/>
      <c r="C480" s="18"/>
      <c r="D480" s="18"/>
      <c r="E480" s="14"/>
      <c r="F480" s="18"/>
      <c r="G480" s="13"/>
      <c r="H480" s="14"/>
      <c r="I480" s="14"/>
      <c r="J480" s="18"/>
      <c r="K480" s="14"/>
      <c r="L480" s="18"/>
      <c r="M480" s="159"/>
      <c r="N480" s="18"/>
      <c r="O480" s="38"/>
    </row>
    <row r="481" spans="1:15">
      <c r="A481" s="18"/>
      <c r="B481" s="18"/>
      <c r="C481" s="18"/>
      <c r="D481" s="18"/>
      <c r="E481" s="14"/>
      <c r="F481" s="18"/>
      <c r="G481" s="13"/>
      <c r="H481" s="14"/>
      <c r="I481" s="14"/>
      <c r="J481" s="18"/>
      <c r="K481" s="14"/>
      <c r="L481" s="18"/>
      <c r="M481" s="159"/>
      <c r="N481" s="18"/>
      <c r="O481" s="38"/>
    </row>
    <row r="482" spans="1:15">
      <c r="A482" s="18"/>
      <c r="B482" s="18"/>
      <c r="C482" s="18"/>
      <c r="D482" s="18"/>
      <c r="E482" s="14"/>
      <c r="F482" s="18"/>
      <c r="G482" s="13"/>
      <c r="H482" s="14"/>
      <c r="I482" s="14"/>
      <c r="J482" s="18"/>
      <c r="K482" s="14"/>
      <c r="L482" s="18"/>
      <c r="M482" s="159"/>
      <c r="N482" s="18"/>
      <c r="O482" s="38"/>
    </row>
    <row r="483" spans="1:15">
      <c r="A483" s="18"/>
      <c r="B483" s="18"/>
      <c r="C483" s="18"/>
      <c r="D483" s="18"/>
      <c r="E483" s="14"/>
      <c r="F483" s="18"/>
      <c r="G483" s="13"/>
      <c r="H483" s="14"/>
      <c r="I483" s="14"/>
      <c r="J483" s="18"/>
      <c r="K483" s="14"/>
      <c r="L483" s="18"/>
      <c r="M483" s="159"/>
      <c r="N483" s="18"/>
      <c r="O483" s="38"/>
    </row>
    <row r="484" spans="1:15">
      <c r="A484" s="18"/>
      <c r="B484" s="18"/>
      <c r="C484" s="18"/>
      <c r="D484" s="18"/>
      <c r="E484" s="14"/>
      <c r="F484" s="18"/>
      <c r="G484" s="13"/>
      <c r="H484" s="14"/>
      <c r="I484" s="14"/>
      <c r="J484" s="18"/>
      <c r="K484" s="14"/>
      <c r="L484" s="18"/>
      <c r="M484" s="159"/>
      <c r="N484" s="18"/>
      <c r="O484" s="38"/>
    </row>
    <row r="485" spans="1:15">
      <c r="A485" s="18"/>
      <c r="B485" s="18"/>
      <c r="C485" s="18"/>
      <c r="D485" s="18"/>
      <c r="E485" s="14"/>
      <c r="F485" s="18"/>
      <c r="G485" s="13"/>
      <c r="H485" s="14"/>
      <c r="I485" s="14"/>
      <c r="J485" s="18"/>
      <c r="K485" s="14"/>
      <c r="L485" s="18"/>
      <c r="M485" s="159"/>
      <c r="N485" s="18"/>
      <c r="O485" s="38"/>
    </row>
    <row r="486" spans="1:15">
      <c r="A486" s="18"/>
      <c r="B486" s="18"/>
      <c r="C486" s="18"/>
      <c r="D486" s="18"/>
      <c r="E486" s="14"/>
      <c r="F486" s="18"/>
      <c r="G486" s="13"/>
      <c r="H486" s="14"/>
      <c r="I486" s="14"/>
      <c r="J486" s="18"/>
      <c r="K486" s="14"/>
      <c r="L486" s="18"/>
      <c r="M486" s="159"/>
      <c r="N486" s="18"/>
      <c r="O486" s="38"/>
    </row>
    <row r="487" spans="1:15">
      <c r="A487" s="18"/>
      <c r="B487" s="18"/>
      <c r="C487" s="18"/>
      <c r="D487" s="18"/>
      <c r="E487" s="14"/>
      <c r="F487" s="18"/>
      <c r="G487" s="13"/>
      <c r="H487" s="14"/>
      <c r="I487" s="14"/>
      <c r="J487" s="18"/>
      <c r="K487" s="14"/>
      <c r="L487" s="18"/>
      <c r="M487" s="159"/>
      <c r="N487" s="18"/>
      <c r="O487" s="38"/>
    </row>
    <row r="488" spans="1:15">
      <c r="A488" s="18"/>
      <c r="B488" s="18"/>
      <c r="C488" s="18"/>
      <c r="D488" s="18"/>
      <c r="E488" s="14"/>
      <c r="F488" s="18"/>
      <c r="G488" s="13"/>
      <c r="H488" s="14"/>
      <c r="I488" s="14"/>
      <c r="J488" s="18"/>
      <c r="K488" s="14"/>
      <c r="L488" s="18"/>
      <c r="M488" s="159"/>
      <c r="N488" s="18"/>
      <c r="O488" s="38"/>
    </row>
    <row r="489" spans="1:15">
      <c r="A489" s="18"/>
      <c r="B489" s="18"/>
      <c r="C489" s="18"/>
      <c r="D489" s="18"/>
      <c r="E489" s="14"/>
      <c r="F489" s="18"/>
      <c r="G489" s="13"/>
      <c r="H489" s="14"/>
      <c r="I489" s="14"/>
      <c r="J489" s="18"/>
      <c r="K489" s="14"/>
      <c r="L489" s="18"/>
      <c r="M489" s="159"/>
      <c r="N489" s="18"/>
      <c r="O489" s="38"/>
    </row>
    <row r="490" spans="1:15">
      <c r="A490" s="18"/>
      <c r="B490" s="18"/>
      <c r="C490" s="18"/>
      <c r="D490" s="18"/>
      <c r="E490" s="14"/>
      <c r="F490" s="18"/>
      <c r="G490" s="13"/>
      <c r="H490" s="14"/>
      <c r="I490" s="14"/>
      <c r="J490" s="18"/>
      <c r="K490" s="14"/>
      <c r="L490" s="18"/>
      <c r="M490" s="159"/>
      <c r="N490" s="18"/>
      <c r="O490" s="38"/>
    </row>
    <row r="491" spans="1:15">
      <c r="A491" s="18"/>
      <c r="B491" s="18"/>
      <c r="C491" s="18"/>
      <c r="D491" s="18"/>
      <c r="E491" s="14"/>
      <c r="F491" s="18"/>
      <c r="G491" s="13"/>
      <c r="H491" s="14"/>
      <c r="I491" s="14"/>
      <c r="J491" s="18"/>
      <c r="K491" s="14"/>
      <c r="L491" s="18"/>
      <c r="M491" s="159"/>
      <c r="N491" s="18"/>
      <c r="O491" s="38"/>
    </row>
    <row r="492" spans="1:15">
      <c r="A492" s="18"/>
      <c r="B492" s="18"/>
      <c r="C492" s="18"/>
      <c r="D492" s="18"/>
      <c r="E492" s="14"/>
      <c r="F492" s="18"/>
      <c r="G492" s="13"/>
      <c r="H492" s="14"/>
      <c r="I492" s="14"/>
      <c r="J492" s="18"/>
      <c r="K492" s="14"/>
      <c r="L492" s="18"/>
      <c r="M492" s="159"/>
      <c r="N492" s="18"/>
      <c r="O492" s="38"/>
    </row>
    <row r="493" spans="1:15">
      <c r="A493" s="18"/>
      <c r="B493" s="18"/>
      <c r="C493" s="18"/>
      <c r="D493" s="18"/>
      <c r="E493" s="14"/>
      <c r="F493" s="18"/>
      <c r="G493" s="13"/>
      <c r="H493" s="14"/>
      <c r="I493" s="14"/>
      <c r="J493" s="18"/>
      <c r="K493" s="14"/>
      <c r="L493" s="18"/>
      <c r="M493" s="159"/>
      <c r="N493" s="18"/>
      <c r="O493" s="38"/>
    </row>
    <row r="494" spans="1:15">
      <c r="A494" s="18"/>
      <c r="B494" s="18"/>
      <c r="C494" s="18"/>
      <c r="D494" s="18"/>
      <c r="E494" s="14"/>
      <c r="F494" s="18"/>
      <c r="G494" s="13"/>
      <c r="H494" s="14"/>
      <c r="I494" s="14"/>
      <c r="J494" s="18"/>
      <c r="K494" s="14"/>
      <c r="L494" s="18"/>
      <c r="M494" s="159"/>
      <c r="N494" s="18"/>
      <c r="O494" s="38"/>
    </row>
    <row r="495" spans="1:15">
      <c r="A495" s="18"/>
      <c r="B495" s="18"/>
      <c r="C495" s="18"/>
      <c r="D495" s="18"/>
      <c r="E495" s="14"/>
      <c r="F495" s="18"/>
      <c r="G495" s="13"/>
      <c r="H495" s="14"/>
      <c r="I495" s="14"/>
      <c r="J495" s="18"/>
      <c r="K495" s="14"/>
      <c r="L495" s="18"/>
      <c r="M495" s="159"/>
      <c r="N495" s="18"/>
      <c r="O495" s="38"/>
    </row>
    <row r="496" spans="1:15">
      <c r="A496" s="18"/>
      <c r="B496" s="18"/>
      <c r="C496" s="18"/>
      <c r="D496" s="18"/>
      <c r="E496" s="14"/>
      <c r="F496" s="18"/>
      <c r="G496" s="13"/>
      <c r="H496" s="14"/>
      <c r="I496" s="14"/>
      <c r="J496" s="18"/>
      <c r="K496" s="14"/>
      <c r="L496" s="18"/>
      <c r="M496" s="159"/>
      <c r="N496" s="18"/>
      <c r="O496" s="38"/>
    </row>
    <row r="497" spans="1:15">
      <c r="A497" s="18"/>
      <c r="B497" s="18"/>
      <c r="C497" s="18"/>
      <c r="D497" s="18"/>
      <c r="E497" s="14"/>
      <c r="F497" s="18"/>
      <c r="G497" s="13"/>
      <c r="H497" s="14"/>
      <c r="I497" s="14"/>
      <c r="J497" s="18"/>
      <c r="K497" s="14"/>
      <c r="L497" s="18"/>
      <c r="M497" s="159"/>
      <c r="N497" s="18"/>
      <c r="O497" s="38"/>
    </row>
    <row r="498" spans="1:15">
      <c r="A498" s="18"/>
      <c r="B498" s="18"/>
      <c r="C498" s="18"/>
      <c r="D498" s="18"/>
      <c r="E498" s="14"/>
      <c r="F498" s="18"/>
      <c r="G498" s="13"/>
      <c r="H498" s="14"/>
      <c r="I498" s="14"/>
      <c r="J498" s="18"/>
      <c r="K498" s="14"/>
      <c r="L498" s="18"/>
      <c r="M498" s="159"/>
      <c r="N498" s="18"/>
      <c r="O498" s="38"/>
    </row>
    <row r="499" spans="1:15">
      <c r="A499" s="18"/>
      <c r="B499" s="18"/>
      <c r="C499" s="18"/>
      <c r="D499" s="18"/>
      <c r="E499" s="14"/>
      <c r="F499" s="18"/>
      <c r="G499" s="13"/>
      <c r="H499" s="14"/>
      <c r="I499" s="14"/>
      <c r="J499" s="18"/>
      <c r="K499" s="14"/>
      <c r="L499" s="18"/>
      <c r="M499" s="159"/>
      <c r="N499" s="18"/>
      <c r="O499" s="38"/>
    </row>
    <row r="500" spans="1:15">
      <c r="A500" s="18"/>
      <c r="B500" s="18"/>
      <c r="C500" s="18"/>
      <c r="D500" s="18"/>
      <c r="E500" s="14"/>
      <c r="F500" s="18"/>
      <c r="G500" s="13"/>
      <c r="H500" s="14"/>
      <c r="I500" s="14"/>
      <c r="J500" s="18"/>
      <c r="K500" s="14"/>
      <c r="L500" s="18"/>
      <c r="M500" s="159"/>
      <c r="N500" s="18"/>
      <c r="O500" s="38"/>
    </row>
    <row r="501" spans="1:15">
      <c r="A501" s="18"/>
      <c r="B501" s="18"/>
      <c r="C501" s="18"/>
      <c r="D501" s="18"/>
      <c r="E501" s="14"/>
      <c r="F501" s="18"/>
      <c r="G501" s="13"/>
      <c r="H501" s="14"/>
      <c r="I501" s="14"/>
      <c r="J501" s="18"/>
      <c r="K501" s="14"/>
      <c r="L501" s="18"/>
      <c r="M501" s="159"/>
      <c r="N501" s="18"/>
      <c r="O501" s="38"/>
    </row>
    <row r="502" spans="1:15">
      <c r="A502" s="18"/>
      <c r="B502" s="18"/>
      <c r="C502" s="18"/>
      <c r="D502" s="18"/>
      <c r="E502" s="14"/>
      <c r="F502" s="18"/>
      <c r="G502" s="13"/>
      <c r="H502" s="14"/>
      <c r="I502" s="14"/>
      <c r="J502" s="18"/>
      <c r="K502" s="14"/>
      <c r="L502" s="18"/>
      <c r="M502" s="159"/>
      <c r="N502" s="18"/>
      <c r="O502" s="38"/>
    </row>
    <row r="503" spans="1:15">
      <c r="A503" s="18"/>
      <c r="B503" s="18"/>
      <c r="C503" s="18"/>
      <c r="D503" s="18"/>
      <c r="E503" s="14"/>
      <c r="F503" s="18"/>
      <c r="G503" s="13"/>
      <c r="H503" s="14"/>
      <c r="I503" s="14"/>
      <c r="J503" s="18"/>
      <c r="K503" s="14"/>
      <c r="L503" s="18"/>
      <c r="M503" s="159"/>
      <c r="N503" s="18"/>
      <c r="O503" s="38"/>
    </row>
    <row r="504" spans="1:15">
      <c r="A504" s="18"/>
      <c r="B504" s="18"/>
      <c r="C504" s="18"/>
      <c r="D504" s="18"/>
      <c r="E504" s="14"/>
      <c r="F504" s="18"/>
      <c r="G504" s="13"/>
      <c r="H504" s="14"/>
      <c r="I504" s="14"/>
      <c r="J504" s="18"/>
      <c r="K504" s="14"/>
      <c r="L504" s="18"/>
      <c r="M504" s="159"/>
      <c r="N504" s="18"/>
      <c r="O504" s="38"/>
    </row>
    <row r="505" spans="1:15">
      <c r="A505" s="18"/>
      <c r="B505" s="18"/>
      <c r="C505" s="18"/>
      <c r="D505" s="18"/>
      <c r="E505" s="14"/>
      <c r="F505" s="18"/>
      <c r="G505" s="13"/>
      <c r="H505" s="14"/>
      <c r="I505" s="14"/>
      <c r="J505" s="18"/>
      <c r="K505" s="14"/>
      <c r="L505" s="18"/>
      <c r="M505" s="159"/>
      <c r="N505" s="18"/>
      <c r="O505" s="38"/>
    </row>
    <row r="506" spans="1:15">
      <c r="A506" s="18"/>
      <c r="B506" s="18"/>
      <c r="C506" s="18"/>
      <c r="D506" s="18"/>
      <c r="E506" s="14"/>
      <c r="F506" s="18"/>
      <c r="G506" s="13"/>
      <c r="H506" s="14"/>
      <c r="I506" s="14"/>
      <c r="J506" s="18"/>
      <c r="K506" s="14"/>
      <c r="L506" s="18"/>
      <c r="M506" s="159"/>
      <c r="N506" s="18"/>
      <c r="O506" s="38"/>
    </row>
    <row r="507" spans="1:15">
      <c r="A507" s="18"/>
      <c r="B507" s="18"/>
      <c r="C507" s="18"/>
      <c r="D507" s="18"/>
      <c r="E507" s="14"/>
      <c r="F507" s="18"/>
      <c r="G507" s="13"/>
      <c r="H507" s="14"/>
      <c r="I507" s="14"/>
      <c r="J507" s="18"/>
      <c r="K507" s="14"/>
      <c r="L507" s="18"/>
      <c r="M507" s="159"/>
      <c r="N507" s="18"/>
      <c r="O507" s="38"/>
    </row>
    <row r="508" spans="1:15">
      <c r="A508" s="18"/>
      <c r="B508" s="18"/>
      <c r="C508" s="18"/>
      <c r="D508" s="18"/>
      <c r="E508" s="14"/>
      <c r="F508" s="18"/>
      <c r="G508" s="13"/>
      <c r="H508" s="14"/>
      <c r="I508" s="14"/>
      <c r="J508" s="18"/>
      <c r="K508" s="14"/>
      <c r="L508" s="18"/>
      <c r="M508" s="159"/>
      <c r="N508" s="18"/>
      <c r="O508" s="38"/>
    </row>
    <row r="509" spans="1:15">
      <c r="A509" s="18"/>
      <c r="B509" s="18"/>
      <c r="C509" s="18"/>
      <c r="D509" s="18"/>
      <c r="E509" s="14"/>
      <c r="F509" s="18"/>
      <c r="G509" s="13"/>
      <c r="H509" s="14"/>
      <c r="I509" s="14"/>
      <c r="J509" s="18"/>
      <c r="K509" s="14"/>
      <c r="L509" s="18"/>
      <c r="M509" s="159"/>
      <c r="N509" s="18"/>
      <c r="O509" s="38"/>
    </row>
    <row r="510" spans="1:15">
      <c r="A510" s="18"/>
      <c r="B510" s="18"/>
      <c r="C510" s="18"/>
      <c r="D510" s="18"/>
      <c r="E510" s="14"/>
      <c r="F510" s="18"/>
      <c r="G510" s="13"/>
      <c r="H510" s="14"/>
      <c r="I510" s="14"/>
      <c r="J510" s="18"/>
      <c r="K510" s="14"/>
      <c r="L510" s="18"/>
      <c r="M510" s="159"/>
      <c r="N510" s="18"/>
      <c r="O510" s="38"/>
    </row>
    <row r="511" spans="1:15">
      <c r="A511" s="18"/>
      <c r="B511" s="18"/>
      <c r="C511" s="18"/>
      <c r="D511" s="18"/>
      <c r="E511" s="14"/>
      <c r="F511" s="18"/>
      <c r="G511" s="13"/>
      <c r="H511" s="14"/>
      <c r="I511" s="14"/>
      <c r="J511" s="18"/>
      <c r="K511" s="14"/>
      <c r="L511" s="18"/>
      <c r="M511" s="159"/>
      <c r="N511" s="18"/>
      <c r="O511" s="38"/>
    </row>
    <row r="512" spans="1:15">
      <c r="A512" s="18"/>
      <c r="B512" s="18"/>
      <c r="C512" s="18"/>
      <c r="D512" s="18"/>
      <c r="E512" s="14"/>
      <c r="F512" s="18"/>
      <c r="G512" s="13"/>
      <c r="H512" s="14"/>
      <c r="I512" s="14"/>
      <c r="J512" s="18"/>
      <c r="K512" s="14"/>
      <c r="L512" s="18"/>
      <c r="M512" s="159"/>
      <c r="N512" s="18"/>
      <c r="O512" s="38"/>
    </row>
    <row r="513" spans="1:15">
      <c r="A513" s="18"/>
      <c r="B513" s="18"/>
      <c r="C513" s="18"/>
      <c r="D513" s="18"/>
      <c r="E513" s="14"/>
      <c r="F513" s="18"/>
      <c r="G513" s="13"/>
      <c r="H513" s="14"/>
      <c r="I513" s="14"/>
      <c r="J513" s="18"/>
      <c r="K513" s="14"/>
      <c r="L513" s="18"/>
      <c r="M513" s="159"/>
      <c r="N513" s="18"/>
      <c r="O513" s="38"/>
    </row>
    <row r="514" spans="1:15">
      <c r="A514" s="18"/>
      <c r="B514" s="18"/>
      <c r="C514" s="18"/>
      <c r="D514" s="18"/>
      <c r="E514" s="14"/>
      <c r="F514" s="18"/>
      <c r="G514" s="13"/>
      <c r="H514" s="14"/>
      <c r="I514" s="14"/>
      <c r="J514" s="18"/>
      <c r="K514" s="14"/>
      <c r="L514" s="18"/>
      <c r="M514" s="159"/>
      <c r="N514" s="18"/>
      <c r="O514" s="38"/>
    </row>
    <row r="515" spans="1:15">
      <c r="A515" s="18"/>
      <c r="B515" s="18"/>
      <c r="C515" s="18"/>
      <c r="D515" s="18"/>
      <c r="E515" s="14"/>
      <c r="F515" s="18"/>
      <c r="G515" s="13"/>
      <c r="H515" s="14"/>
      <c r="I515" s="14"/>
      <c r="J515" s="18"/>
      <c r="K515" s="14"/>
      <c r="L515" s="18"/>
      <c r="M515" s="159"/>
      <c r="N515" s="18"/>
      <c r="O515" s="38"/>
    </row>
    <row r="516" spans="1:15">
      <c r="A516" s="18"/>
      <c r="B516" s="18"/>
      <c r="C516" s="18"/>
      <c r="D516" s="18"/>
      <c r="E516" s="14"/>
      <c r="F516" s="18"/>
      <c r="G516" s="13"/>
      <c r="H516" s="14"/>
      <c r="I516" s="14"/>
      <c r="J516" s="18"/>
      <c r="K516" s="14"/>
      <c r="L516" s="18"/>
      <c r="M516" s="159"/>
      <c r="N516" s="18"/>
      <c r="O516" s="38"/>
    </row>
    <row r="517" spans="1:15">
      <c r="A517" s="18"/>
      <c r="B517" s="18"/>
      <c r="C517" s="18"/>
      <c r="D517" s="18"/>
      <c r="E517" s="14"/>
      <c r="F517" s="18"/>
      <c r="G517" s="13"/>
      <c r="H517" s="14"/>
      <c r="I517" s="14"/>
      <c r="J517" s="18"/>
      <c r="K517" s="14"/>
      <c r="L517" s="18"/>
      <c r="M517" s="159"/>
      <c r="N517" s="18"/>
      <c r="O517" s="38"/>
    </row>
    <row r="518" spans="1:15">
      <c r="A518" s="18"/>
      <c r="B518" s="18"/>
      <c r="C518" s="18"/>
      <c r="D518" s="18"/>
      <c r="E518" s="14"/>
      <c r="F518" s="18"/>
      <c r="G518" s="13"/>
      <c r="H518" s="14"/>
      <c r="I518" s="14"/>
      <c r="J518" s="18"/>
      <c r="K518" s="14"/>
      <c r="L518" s="18"/>
      <c r="M518" s="159"/>
      <c r="N518" s="18"/>
      <c r="O518" s="38"/>
    </row>
    <row r="519" spans="1:15">
      <c r="A519" s="18"/>
      <c r="B519" s="18"/>
      <c r="C519" s="18"/>
      <c r="D519" s="18"/>
      <c r="E519" s="14"/>
      <c r="F519" s="18"/>
      <c r="G519" s="13"/>
      <c r="H519" s="14"/>
      <c r="I519" s="14"/>
      <c r="J519" s="18"/>
      <c r="K519" s="14"/>
      <c r="L519" s="18"/>
      <c r="M519" s="159"/>
      <c r="N519" s="18"/>
      <c r="O519" s="38"/>
    </row>
    <row r="520" spans="1:15">
      <c r="A520" s="18"/>
      <c r="B520" s="18"/>
      <c r="C520" s="18"/>
      <c r="D520" s="18"/>
      <c r="E520" s="14"/>
      <c r="F520" s="18"/>
      <c r="G520" s="13"/>
      <c r="H520" s="14"/>
      <c r="I520" s="14"/>
      <c r="J520" s="18"/>
      <c r="K520" s="14"/>
      <c r="L520" s="18"/>
      <c r="M520" s="159"/>
      <c r="N520" s="18"/>
      <c r="O520" s="38"/>
    </row>
    <row r="521" spans="1:15">
      <c r="A521" s="18"/>
      <c r="B521" s="18"/>
      <c r="C521" s="18"/>
      <c r="D521" s="18"/>
      <c r="E521" s="14"/>
      <c r="F521" s="18"/>
      <c r="G521" s="13"/>
      <c r="H521" s="14"/>
      <c r="I521" s="14"/>
      <c r="J521" s="18"/>
      <c r="K521" s="14"/>
      <c r="L521" s="18"/>
      <c r="M521" s="159"/>
      <c r="N521" s="18"/>
      <c r="O521" s="38"/>
    </row>
    <row r="522" spans="1:15">
      <c r="A522" s="18"/>
      <c r="B522" s="18"/>
      <c r="C522" s="18"/>
      <c r="D522" s="18"/>
      <c r="E522" s="14"/>
      <c r="F522" s="18"/>
      <c r="G522" s="13"/>
      <c r="H522" s="14"/>
      <c r="I522" s="14"/>
      <c r="J522" s="18"/>
      <c r="K522" s="14"/>
      <c r="L522" s="18"/>
      <c r="M522" s="159"/>
      <c r="N522" s="18"/>
      <c r="O522" s="38"/>
    </row>
    <row r="523" spans="1:15">
      <c r="A523" s="18"/>
      <c r="B523" s="18"/>
      <c r="C523" s="18"/>
      <c r="D523" s="18"/>
      <c r="E523" s="14"/>
      <c r="F523" s="18"/>
      <c r="G523" s="13"/>
      <c r="H523" s="14"/>
      <c r="I523" s="14"/>
      <c r="J523" s="18"/>
      <c r="K523" s="14"/>
      <c r="L523" s="18"/>
      <c r="M523" s="159"/>
      <c r="N523" s="18"/>
      <c r="O523" s="38"/>
    </row>
    <row r="524" spans="1:15">
      <c r="A524" s="18"/>
      <c r="B524" s="18"/>
      <c r="C524" s="18"/>
      <c r="D524" s="18"/>
      <c r="E524" s="14"/>
      <c r="F524" s="18"/>
      <c r="G524" s="13"/>
      <c r="H524" s="14"/>
      <c r="I524" s="14"/>
      <c r="J524" s="18"/>
      <c r="K524" s="14"/>
      <c r="L524" s="18"/>
      <c r="M524" s="159"/>
      <c r="N524" s="18"/>
      <c r="O524" s="38"/>
    </row>
    <row r="525" spans="1:15">
      <c r="A525" s="18"/>
      <c r="B525" s="18"/>
      <c r="C525" s="18"/>
      <c r="D525" s="18"/>
      <c r="E525" s="14"/>
      <c r="F525" s="18"/>
      <c r="G525" s="13"/>
      <c r="H525" s="14"/>
      <c r="I525" s="14"/>
      <c r="J525" s="18"/>
      <c r="K525" s="14"/>
      <c r="L525" s="18"/>
      <c r="M525" s="159"/>
      <c r="N525" s="18"/>
      <c r="O525" s="38"/>
    </row>
    <row r="526" spans="1:15">
      <c r="A526" s="18"/>
      <c r="B526" s="18"/>
      <c r="C526" s="18"/>
      <c r="D526" s="18"/>
      <c r="E526" s="14"/>
      <c r="F526" s="18"/>
      <c r="G526" s="13"/>
      <c r="H526" s="14"/>
      <c r="I526" s="14"/>
      <c r="J526" s="18"/>
      <c r="K526" s="14"/>
      <c r="L526" s="18"/>
      <c r="M526" s="159"/>
      <c r="N526" s="18"/>
      <c r="O526" s="38"/>
    </row>
    <row r="527" spans="1:15">
      <c r="A527" s="18"/>
      <c r="B527" s="18"/>
      <c r="C527" s="18"/>
      <c r="D527" s="18"/>
      <c r="E527" s="14"/>
      <c r="F527" s="18"/>
      <c r="G527" s="13"/>
      <c r="H527" s="14"/>
      <c r="I527" s="14"/>
      <c r="J527" s="18"/>
      <c r="K527" s="14"/>
      <c r="L527" s="18"/>
      <c r="M527" s="159"/>
      <c r="N527" s="18"/>
      <c r="O527" s="38"/>
    </row>
    <row r="528" spans="1:15">
      <c r="A528" s="18"/>
      <c r="B528" s="18"/>
      <c r="C528" s="18"/>
      <c r="D528" s="18"/>
      <c r="E528" s="14"/>
      <c r="F528" s="18"/>
      <c r="G528" s="13"/>
      <c r="H528" s="14"/>
      <c r="I528" s="14"/>
      <c r="J528" s="18"/>
      <c r="K528" s="14"/>
      <c r="L528" s="18"/>
      <c r="M528" s="159"/>
      <c r="N528" s="18"/>
      <c r="O528" s="38"/>
    </row>
    <row r="529" spans="1:15">
      <c r="A529" s="18"/>
      <c r="B529" s="18"/>
      <c r="C529" s="18"/>
      <c r="D529" s="18"/>
      <c r="E529" s="14"/>
      <c r="F529" s="18"/>
      <c r="G529" s="13"/>
      <c r="H529" s="14"/>
      <c r="I529" s="14"/>
      <c r="J529" s="18"/>
      <c r="K529" s="14"/>
      <c r="L529" s="18"/>
      <c r="M529" s="159"/>
      <c r="N529" s="18"/>
      <c r="O529" s="38"/>
    </row>
    <row r="530" spans="1:15">
      <c r="A530" s="18"/>
      <c r="B530" s="18"/>
      <c r="C530" s="18"/>
      <c r="D530" s="18"/>
      <c r="E530" s="14"/>
      <c r="F530" s="18"/>
      <c r="G530" s="13"/>
      <c r="H530" s="14"/>
      <c r="I530" s="14"/>
      <c r="J530" s="18"/>
      <c r="K530" s="14"/>
      <c r="L530" s="18"/>
      <c r="M530" s="159"/>
      <c r="N530" s="18"/>
      <c r="O530" s="38"/>
    </row>
    <row r="531" spans="1:15">
      <c r="A531" s="18"/>
      <c r="B531" s="18"/>
      <c r="C531" s="18"/>
      <c r="D531" s="18"/>
      <c r="E531" s="14"/>
      <c r="F531" s="18"/>
      <c r="G531" s="13"/>
      <c r="H531" s="14"/>
      <c r="I531" s="14"/>
      <c r="J531" s="18"/>
      <c r="K531" s="14"/>
      <c r="L531" s="18"/>
      <c r="M531" s="159"/>
      <c r="N531" s="18"/>
      <c r="O531" s="38"/>
    </row>
    <row r="532" spans="1:15">
      <c r="A532" s="18"/>
      <c r="B532" s="18"/>
      <c r="C532" s="18"/>
      <c r="D532" s="18"/>
      <c r="E532" s="14"/>
      <c r="F532" s="18"/>
      <c r="G532" s="13"/>
      <c r="H532" s="14"/>
      <c r="I532" s="14"/>
      <c r="J532" s="18"/>
      <c r="K532" s="14"/>
      <c r="L532" s="18"/>
      <c r="M532" s="159"/>
      <c r="N532" s="18"/>
      <c r="O532" s="38"/>
    </row>
    <row r="533" spans="1:15">
      <c r="A533" s="18"/>
      <c r="B533" s="18"/>
      <c r="C533" s="18"/>
      <c r="D533" s="18"/>
      <c r="E533" s="14"/>
      <c r="F533" s="18"/>
      <c r="G533" s="13"/>
      <c r="H533" s="14"/>
      <c r="I533" s="14"/>
      <c r="J533" s="18"/>
      <c r="K533" s="14"/>
      <c r="L533" s="18"/>
      <c r="M533" s="159"/>
      <c r="N533" s="18"/>
      <c r="O533" s="38"/>
    </row>
    <row r="534" spans="1:15">
      <c r="A534" s="18"/>
      <c r="B534" s="18"/>
      <c r="C534" s="18"/>
      <c r="D534" s="18"/>
      <c r="E534" s="14"/>
      <c r="F534" s="18"/>
      <c r="G534" s="13"/>
      <c r="H534" s="14"/>
      <c r="I534" s="14"/>
      <c r="J534" s="18"/>
      <c r="K534" s="14"/>
      <c r="L534" s="18"/>
      <c r="M534" s="159"/>
      <c r="N534" s="18"/>
      <c r="O534" s="38"/>
    </row>
    <row r="535" spans="1:15">
      <c r="A535" s="18"/>
      <c r="B535" s="18"/>
      <c r="C535" s="18"/>
      <c r="D535" s="18"/>
      <c r="E535" s="14"/>
      <c r="F535" s="18"/>
      <c r="G535" s="13"/>
      <c r="H535" s="14"/>
      <c r="I535" s="14"/>
      <c r="J535" s="18"/>
      <c r="K535" s="14"/>
      <c r="L535" s="18"/>
      <c r="M535" s="159"/>
      <c r="N535" s="18"/>
      <c r="O535" s="38"/>
    </row>
    <row r="536" spans="1:15">
      <c r="A536" s="18"/>
      <c r="B536" s="18"/>
      <c r="C536" s="18"/>
      <c r="D536" s="18"/>
      <c r="E536" s="14"/>
      <c r="F536" s="18"/>
      <c r="G536" s="13"/>
      <c r="H536" s="14"/>
      <c r="I536" s="14"/>
      <c r="J536" s="18"/>
      <c r="K536" s="14"/>
      <c r="L536" s="18"/>
      <c r="M536" s="159"/>
      <c r="N536" s="18"/>
      <c r="O536" s="38"/>
    </row>
    <row r="537" spans="1:15">
      <c r="A537" s="18"/>
      <c r="B537" s="18"/>
      <c r="C537" s="18"/>
      <c r="D537" s="18"/>
      <c r="E537" s="14"/>
      <c r="F537" s="18"/>
      <c r="G537" s="13"/>
      <c r="H537" s="14"/>
      <c r="I537" s="14"/>
      <c r="J537" s="18"/>
      <c r="K537" s="14"/>
      <c r="L537" s="18"/>
      <c r="M537" s="159"/>
      <c r="N537" s="18"/>
      <c r="O537" s="38"/>
    </row>
    <row r="538" spans="1:15">
      <c r="A538" s="18"/>
      <c r="B538" s="18"/>
      <c r="C538" s="18"/>
      <c r="D538" s="18"/>
      <c r="E538" s="14"/>
      <c r="F538" s="18"/>
      <c r="G538" s="13"/>
      <c r="H538" s="14"/>
      <c r="I538" s="14"/>
      <c r="J538" s="18"/>
      <c r="K538" s="14"/>
      <c r="L538" s="18"/>
      <c r="M538" s="159"/>
      <c r="N538" s="18"/>
      <c r="O538" s="38"/>
    </row>
    <row r="539" spans="1:15">
      <c r="A539" s="18"/>
      <c r="B539" s="18"/>
      <c r="C539" s="18"/>
      <c r="D539" s="18"/>
      <c r="E539" s="14"/>
      <c r="F539" s="18"/>
      <c r="G539" s="13"/>
      <c r="H539" s="14"/>
      <c r="I539" s="14"/>
      <c r="J539" s="18"/>
      <c r="K539" s="14"/>
      <c r="L539" s="18"/>
      <c r="M539" s="159"/>
      <c r="N539" s="18"/>
      <c r="O539" s="38"/>
    </row>
    <row r="540" spans="1:15">
      <c r="A540" s="18"/>
      <c r="B540" s="18"/>
      <c r="C540" s="18"/>
      <c r="D540" s="18"/>
      <c r="E540" s="14"/>
      <c r="F540" s="18"/>
      <c r="G540" s="13"/>
      <c r="H540" s="14"/>
      <c r="I540" s="14"/>
      <c r="J540" s="18"/>
      <c r="K540" s="14"/>
      <c r="L540" s="18"/>
      <c r="M540" s="159"/>
      <c r="N540" s="18"/>
      <c r="O540" s="38"/>
    </row>
    <row r="541" spans="1:15">
      <c r="A541" s="18"/>
      <c r="B541" s="18"/>
      <c r="C541" s="18"/>
      <c r="D541" s="18"/>
      <c r="E541" s="14"/>
      <c r="F541" s="18"/>
      <c r="G541" s="13"/>
      <c r="H541" s="14"/>
      <c r="I541" s="14"/>
      <c r="J541" s="18"/>
      <c r="K541" s="14"/>
      <c r="L541" s="18"/>
      <c r="M541" s="159"/>
      <c r="N541" s="18"/>
      <c r="O541" s="38"/>
    </row>
    <row r="542" spans="1:15">
      <c r="A542" s="18"/>
      <c r="B542" s="18"/>
      <c r="C542" s="18"/>
      <c r="D542" s="18"/>
      <c r="E542" s="14"/>
      <c r="F542" s="18"/>
      <c r="G542" s="13"/>
      <c r="H542" s="14"/>
      <c r="I542" s="14"/>
      <c r="J542" s="18"/>
      <c r="K542" s="14"/>
      <c r="L542" s="18"/>
      <c r="M542" s="159"/>
      <c r="N542" s="18"/>
      <c r="O542" s="38"/>
    </row>
    <row r="543" spans="1:15">
      <c r="A543" s="18"/>
      <c r="B543" s="18"/>
      <c r="C543" s="18"/>
      <c r="D543" s="18"/>
      <c r="E543" s="14"/>
      <c r="F543" s="18"/>
      <c r="G543" s="13"/>
      <c r="H543" s="14"/>
      <c r="I543" s="14"/>
      <c r="J543" s="18"/>
      <c r="K543" s="14"/>
      <c r="L543" s="18"/>
      <c r="M543" s="159"/>
      <c r="N543" s="18"/>
      <c r="O543" s="38"/>
    </row>
    <row r="544" spans="1:15">
      <c r="A544" s="18"/>
      <c r="B544" s="18"/>
      <c r="C544" s="18"/>
      <c r="D544" s="18"/>
      <c r="E544" s="14"/>
      <c r="F544" s="18"/>
      <c r="G544" s="13"/>
      <c r="H544" s="14"/>
      <c r="I544" s="14"/>
      <c r="J544" s="18"/>
      <c r="K544" s="14"/>
      <c r="L544" s="18"/>
      <c r="M544" s="159"/>
      <c r="N544" s="18"/>
      <c r="O544" s="38"/>
    </row>
    <row r="545" spans="1:15">
      <c r="A545" s="18"/>
      <c r="B545" s="18"/>
      <c r="C545" s="18"/>
      <c r="D545" s="18"/>
      <c r="E545" s="14"/>
      <c r="F545" s="18"/>
      <c r="G545" s="13"/>
      <c r="H545" s="14"/>
      <c r="I545" s="14"/>
      <c r="J545" s="18"/>
      <c r="K545" s="14"/>
      <c r="L545" s="18"/>
      <c r="M545" s="159"/>
      <c r="N545" s="18"/>
      <c r="O545" s="38"/>
    </row>
    <row r="546" spans="1:15">
      <c r="A546" s="18"/>
      <c r="B546" s="18"/>
      <c r="C546" s="18"/>
      <c r="D546" s="18"/>
      <c r="E546" s="14"/>
      <c r="F546" s="18"/>
      <c r="G546" s="13"/>
      <c r="H546" s="14"/>
      <c r="I546" s="14"/>
      <c r="J546" s="18"/>
      <c r="K546" s="14"/>
      <c r="L546" s="18"/>
      <c r="M546" s="159"/>
      <c r="N546" s="18"/>
      <c r="O546" s="38"/>
    </row>
    <row r="547" spans="1:15">
      <c r="A547" s="18"/>
      <c r="B547" s="18"/>
      <c r="C547" s="18"/>
      <c r="D547" s="18"/>
      <c r="E547" s="14"/>
      <c r="F547" s="18"/>
      <c r="G547" s="13"/>
      <c r="H547" s="14"/>
      <c r="I547" s="14"/>
      <c r="J547" s="18"/>
      <c r="K547" s="14"/>
      <c r="L547" s="18"/>
      <c r="M547" s="159"/>
      <c r="N547" s="18"/>
      <c r="O547" s="38"/>
    </row>
    <row r="548" spans="1:15">
      <c r="A548" s="18"/>
      <c r="B548" s="18"/>
      <c r="C548" s="18"/>
      <c r="D548" s="18"/>
      <c r="E548" s="14"/>
      <c r="F548" s="18"/>
      <c r="G548" s="13"/>
      <c r="H548" s="14"/>
      <c r="I548" s="14"/>
      <c r="J548" s="18"/>
      <c r="K548" s="14"/>
      <c r="L548" s="18"/>
      <c r="M548" s="159"/>
      <c r="N548" s="18"/>
      <c r="O548" s="38"/>
    </row>
    <row r="549" spans="1:15">
      <c r="A549" s="18"/>
      <c r="B549" s="18"/>
      <c r="C549" s="18"/>
      <c r="D549" s="18"/>
      <c r="E549" s="14"/>
      <c r="F549" s="18"/>
      <c r="G549" s="13"/>
      <c r="H549" s="14"/>
      <c r="I549" s="14"/>
      <c r="J549" s="18"/>
      <c r="K549" s="14"/>
      <c r="L549" s="18"/>
      <c r="M549" s="159"/>
      <c r="N549" s="18"/>
      <c r="O549" s="38"/>
    </row>
    <row r="550" spans="1:15">
      <c r="A550" s="18"/>
      <c r="B550" s="18"/>
      <c r="C550" s="18"/>
      <c r="D550" s="18"/>
      <c r="E550" s="14"/>
      <c r="F550" s="18"/>
      <c r="G550" s="13"/>
      <c r="H550" s="14"/>
      <c r="I550" s="14"/>
      <c r="J550" s="18"/>
      <c r="K550" s="14"/>
      <c r="L550" s="18"/>
      <c r="M550" s="159"/>
      <c r="N550" s="18"/>
      <c r="O550" s="38"/>
    </row>
    <row r="551" spans="1:15">
      <c r="A551" s="18"/>
      <c r="B551" s="18"/>
      <c r="C551" s="18"/>
      <c r="D551" s="18"/>
      <c r="E551" s="14"/>
      <c r="F551" s="18"/>
      <c r="G551" s="13"/>
      <c r="H551" s="14"/>
      <c r="I551" s="14"/>
      <c r="J551" s="18"/>
      <c r="K551" s="14"/>
      <c r="L551" s="18"/>
      <c r="M551" s="159"/>
      <c r="N551" s="18"/>
      <c r="O551" s="38"/>
    </row>
    <row r="552" spans="1:15">
      <c r="A552" s="18"/>
      <c r="B552" s="18"/>
      <c r="C552" s="18"/>
      <c r="D552" s="18"/>
      <c r="E552" s="14"/>
      <c r="F552" s="18"/>
      <c r="G552" s="13"/>
      <c r="H552" s="14"/>
      <c r="I552" s="14"/>
      <c r="J552" s="18"/>
      <c r="K552" s="14"/>
      <c r="L552" s="18"/>
      <c r="M552" s="159"/>
      <c r="N552" s="18"/>
      <c r="O552" s="38"/>
    </row>
    <row r="553" spans="1:15">
      <c r="A553" s="18"/>
      <c r="B553" s="18"/>
      <c r="C553" s="18"/>
      <c r="D553" s="18"/>
      <c r="E553" s="14"/>
      <c r="F553" s="18"/>
      <c r="G553" s="13"/>
      <c r="H553" s="14"/>
      <c r="I553" s="14"/>
      <c r="J553" s="18"/>
      <c r="K553" s="14"/>
      <c r="L553" s="18"/>
      <c r="M553" s="159"/>
      <c r="N553" s="18"/>
      <c r="O553" s="38"/>
    </row>
    <row r="554" spans="1:15">
      <c r="A554" s="18"/>
      <c r="B554" s="18"/>
      <c r="C554" s="18"/>
      <c r="D554" s="18"/>
      <c r="E554" s="14"/>
      <c r="F554" s="18"/>
      <c r="G554" s="13"/>
      <c r="H554" s="14"/>
      <c r="I554" s="14"/>
      <c r="J554" s="18"/>
      <c r="K554" s="14"/>
      <c r="L554" s="18"/>
      <c r="M554" s="159"/>
      <c r="N554" s="18"/>
      <c r="O554" s="38"/>
    </row>
    <row r="555" spans="1:15">
      <c r="A555" s="18"/>
      <c r="B555" s="18"/>
      <c r="C555" s="18"/>
      <c r="D555" s="18"/>
      <c r="E555" s="14"/>
      <c r="F555" s="18"/>
      <c r="G555" s="13"/>
      <c r="H555" s="14"/>
      <c r="I555" s="14"/>
      <c r="J555" s="18"/>
      <c r="K555" s="14"/>
      <c r="L555" s="18"/>
      <c r="M555" s="159"/>
      <c r="N555" s="18"/>
      <c r="O555" s="38"/>
    </row>
    <row r="556" spans="1:15">
      <c r="A556" s="18"/>
      <c r="B556" s="18"/>
      <c r="C556" s="18"/>
      <c r="D556" s="18"/>
      <c r="E556" s="14"/>
      <c r="F556" s="18"/>
      <c r="G556" s="13"/>
      <c r="H556" s="14"/>
      <c r="I556" s="14"/>
      <c r="J556" s="18"/>
      <c r="K556" s="14"/>
      <c r="L556" s="18"/>
      <c r="M556" s="159"/>
      <c r="N556" s="18"/>
      <c r="O556" s="38"/>
    </row>
    <row r="557" spans="1:15">
      <c r="A557" s="18"/>
      <c r="B557" s="18"/>
      <c r="C557" s="18"/>
      <c r="D557" s="18"/>
      <c r="E557" s="14"/>
      <c r="F557" s="18"/>
      <c r="G557" s="13"/>
      <c r="H557" s="14"/>
      <c r="I557" s="14"/>
      <c r="J557" s="18"/>
      <c r="K557" s="14"/>
      <c r="L557" s="18"/>
      <c r="M557" s="159"/>
      <c r="N557" s="18"/>
      <c r="O557" s="38"/>
    </row>
    <row r="558" spans="1:15">
      <c r="A558" s="18"/>
      <c r="B558" s="18"/>
      <c r="C558" s="18"/>
      <c r="D558" s="18"/>
      <c r="E558" s="14"/>
      <c r="F558" s="18"/>
      <c r="G558" s="13"/>
      <c r="H558" s="14"/>
      <c r="I558" s="14"/>
      <c r="J558" s="18"/>
      <c r="K558" s="14"/>
      <c r="L558" s="18"/>
      <c r="M558" s="159"/>
      <c r="N558" s="18"/>
      <c r="O558" s="38"/>
    </row>
    <row r="559" spans="1:15">
      <c r="A559" s="18"/>
      <c r="B559" s="18"/>
      <c r="C559" s="18"/>
      <c r="D559" s="18"/>
      <c r="E559" s="14"/>
      <c r="F559" s="18"/>
      <c r="G559" s="13"/>
      <c r="H559" s="14"/>
      <c r="I559" s="14"/>
      <c r="J559" s="18"/>
      <c r="K559" s="14"/>
      <c r="L559" s="18"/>
      <c r="M559" s="159"/>
      <c r="N559" s="18"/>
      <c r="O559" s="38"/>
    </row>
    <row r="560" spans="1:15">
      <c r="A560" s="18"/>
      <c r="B560" s="18"/>
      <c r="C560" s="18"/>
      <c r="D560" s="18"/>
      <c r="E560" s="14"/>
      <c r="F560" s="18"/>
      <c r="G560" s="13"/>
      <c r="H560" s="14"/>
      <c r="I560" s="14"/>
      <c r="J560" s="18"/>
      <c r="K560" s="14"/>
      <c r="L560" s="18"/>
      <c r="M560" s="159"/>
      <c r="N560" s="18"/>
      <c r="O560" s="38"/>
    </row>
    <row r="561" spans="1:15">
      <c r="A561" s="18"/>
      <c r="B561" s="18"/>
      <c r="C561" s="18"/>
      <c r="D561" s="18"/>
      <c r="E561" s="14"/>
      <c r="F561" s="18"/>
      <c r="G561" s="13"/>
      <c r="H561" s="14"/>
      <c r="I561" s="14"/>
      <c r="J561" s="18"/>
      <c r="K561" s="14"/>
      <c r="L561" s="18"/>
      <c r="M561" s="159"/>
      <c r="N561" s="18"/>
      <c r="O561" s="38"/>
    </row>
    <row r="562" spans="1:15">
      <c r="A562" s="18"/>
      <c r="B562" s="18"/>
      <c r="C562" s="18"/>
      <c r="D562" s="18"/>
      <c r="E562" s="14"/>
      <c r="F562" s="18"/>
      <c r="G562" s="13"/>
      <c r="H562" s="14"/>
      <c r="I562" s="14"/>
      <c r="J562" s="18"/>
      <c r="K562" s="14"/>
      <c r="L562" s="18"/>
      <c r="M562" s="159"/>
      <c r="N562" s="18"/>
      <c r="O562" s="38"/>
    </row>
    <row r="563" spans="1:15">
      <c r="A563" s="18"/>
      <c r="B563" s="18"/>
      <c r="C563" s="18"/>
      <c r="D563" s="18"/>
      <c r="E563" s="14"/>
      <c r="F563" s="18"/>
      <c r="G563" s="13"/>
      <c r="H563" s="14"/>
      <c r="I563" s="14"/>
      <c r="J563" s="18"/>
      <c r="K563" s="14"/>
      <c r="L563" s="18"/>
      <c r="M563" s="159"/>
      <c r="N563" s="18"/>
      <c r="O563" s="38"/>
    </row>
    <row r="564" spans="1:15">
      <c r="A564" s="18"/>
      <c r="B564" s="18"/>
      <c r="C564" s="18"/>
      <c r="D564" s="18"/>
      <c r="E564" s="14"/>
      <c r="F564" s="18"/>
      <c r="G564" s="13"/>
      <c r="H564" s="14"/>
      <c r="I564" s="14"/>
      <c r="J564" s="18"/>
      <c r="K564" s="14"/>
      <c r="L564" s="18"/>
      <c r="M564" s="159"/>
      <c r="N564" s="18"/>
      <c r="O564" s="38"/>
    </row>
    <row r="565" spans="1:15">
      <c r="A565" s="18"/>
      <c r="B565" s="18"/>
      <c r="C565" s="18"/>
      <c r="D565" s="18"/>
      <c r="E565" s="14"/>
      <c r="F565" s="18"/>
      <c r="G565" s="13"/>
      <c r="H565" s="14"/>
      <c r="I565" s="14"/>
      <c r="J565" s="18"/>
      <c r="K565" s="14"/>
      <c r="L565" s="18"/>
      <c r="M565" s="159"/>
      <c r="N565" s="18"/>
      <c r="O565" s="38"/>
    </row>
    <row r="566" spans="1:15">
      <c r="A566" s="18"/>
      <c r="B566" s="18"/>
      <c r="C566" s="18"/>
      <c r="D566" s="18"/>
      <c r="E566" s="14"/>
      <c r="F566" s="18"/>
      <c r="G566" s="13"/>
      <c r="H566" s="14"/>
      <c r="I566" s="14"/>
      <c r="J566" s="18"/>
      <c r="K566" s="14"/>
      <c r="L566" s="18"/>
      <c r="M566" s="159"/>
      <c r="N566" s="18"/>
      <c r="O566" s="38"/>
    </row>
    <row r="567" spans="1:15">
      <c r="A567" s="18"/>
      <c r="B567" s="18"/>
      <c r="C567" s="18"/>
      <c r="D567" s="18"/>
      <c r="E567" s="14"/>
      <c r="F567" s="18"/>
      <c r="G567" s="13"/>
      <c r="H567" s="14"/>
      <c r="I567" s="14"/>
      <c r="J567" s="18"/>
      <c r="K567" s="14"/>
      <c r="L567" s="18"/>
      <c r="M567" s="159"/>
      <c r="N567" s="18"/>
      <c r="O567" s="38"/>
    </row>
    <row r="568" spans="1:15">
      <c r="A568" s="18"/>
      <c r="B568" s="18"/>
      <c r="C568" s="18"/>
      <c r="D568" s="18"/>
      <c r="E568" s="14"/>
      <c r="F568" s="18"/>
      <c r="G568" s="13"/>
      <c r="H568" s="14"/>
      <c r="I568" s="14"/>
      <c r="J568" s="18"/>
      <c r="K568" s="14"/>
      <c r="L568" s="18"/>
      <c r="M568" s="159"/>
      <c r="N568" s="18"/>
      <c r="O568" s="38"/>
    </row>
    <row r="569" spans="1:15">
      <c r="A569" s="18"/>
      <c r="B569" s="18"/>
      <c r="C569" s="18"/>
      <c r="D569" s="18"/>
      <c r="E569" s="14"/>
      <c r="F569" s="18"/>
      <c r="G569" s="13"/>
      <c r="H569" s="14"/>
      <c r="I569" s="14"/>
      <c r="J569" s="18"/>
      <c r="K569" s="14"/>
      <c r="L569" s="18"/>
      <c r="M569" s="159"/>
      <c r="N569" s="18"/>
      <c r="O569" s="38"/>
    </row>
    <row r="570" spans="1:15">
      <c r="A570" s="18"/>
      <c r="B570" s="18"/>
      <c r="C570" s="18"/>
      <c r="D570" s="18"/>
      <c r="E570" s="14"/>
      <c r="F570" s="18"/>
      <c r="G570" s="13"/>
      <c r="H570" s="14"/>
      <c r="I570" s="14"/>
      <c r="J570" s="18"/>
      <c r="K570" s="14"/>
      <c r="L570" s="18"/>
      <c r="M570" s="159"/>
      <c r="N570" s="18"/>
      <c r="O570" s="38"/>
    </row>
    <row r="571" spans="1:15">
      <c r="A571" s="18"/>
      <c r="B571" s="18"/>
      <c r="C571" s="18"/>
      <c r="D571" s="18"/>
      <c r="E571" s="14"/>
      <c r="F571" s="18"/>
      <c r="G571" s="13"/>
      <c r="H571" s="14"/>
      <c r="I571" s="14"/>
      <c r="J571" s="18"/>
      <c r="K571" s="14"/>
      <c r="L571" s="18"/>
      <c r="M571" s="159"/>
      <c r="N571" s="18"/>
      <c r="O571" s="38"/>
    </row>
    <row r="572" spans="1:15">
      <c r="A572" s="18"/>
      <c r="B572" s="18"/>
      <c r="C572" s="18"/>
      <c r="D572" s="18"/>
      <c r="E572" s="14"/>
      <c r="F572" s="18"/>
      <c r="G572" s="13"/>
      <c r="H572" s="14"/>
      <c r="I572" s="14"/>
      <c r="J572" s="18"/>
      <c r="K572" s="14"/>
      <c r="L572" s="18"/>
      <c r="M572" s="159"/>
      <c r="N572" s="18"/>
      <c r="O572" s="38"/>
    </row>
    <row r="573" spans="1:15">
      <c r="A573" s="18"/>
      <c r="B573" s="18"/>
      <c r="C573" s="18"/>
      <c r="D573" s="18"/>
      <c r="E573" s="14"/>
      <c r="F573" s="18"/>
      <c r="G573" s="13"/>
      <c r="H573" s="14"/>
      <c r="I573" s="14"/>
      <c r="J573" s="18"/>
      <c r="K573" s="14"/>
      <c r="L573" s="18"/>
      <c r="M573" s="159"/>
      <c r="N573" s="18"/>
      <c r="O573" s="38"/>
    </row>
    <row r="574" spans="1:15">
      <c r="A574" s="18"/>
      <c r="B574" s="18"/>
      <c r="C574" s="18"/>
      <c r="D574" s="18"/>
      <c r="E574" s="14"/>
      <c r="F574" s="18"/>
      <c r="G574" s="13"/>
      <c r="H574" s="14"/>
      <c r="I574" s="14"/>
      <c r="J574" s="18"/>
      <c r="K574" s="14"/>
      <c r="L574" s="18"/>
      <c r="M574" s="159"/>
      <c r="N574" s="18"/>
      <c r="O574" s="38"/>
    </row>
    <row r="575" spans="1:15">
      <c r="A575" s="18"/>
      <c r="B575" s="18"/>
      <c r="C575" s="18"/>
      <c r="D575" s="18"/>
      <c r="E575" s="14"/>
      <c r="F575" s="18"/>
      <c r="G575" s="13"/>
      <c r="H575" s="14"/>
      <c r="I575" s="14"/>
      <c r="J575" s="18"/>
      <c r="K575" s="14"/>
      <c r="L575" s="18"/>
      <c r="M575" s="159"/>
      <c r="N575" s="18"/>
      <c r="O575" s="38"/>
    </row>
    <row r="576" spans="1:15">
      <c r="A576" s="18"/>
      <c r="B576" s="18"/>
      <c r="C576" s="18"/>
      <c r="D576" s="18"/>
      <c r="E576" s="14"/>
      <c r="F576" s="18"/>
      <c r="G576" s="13"/>
      <c r="H576" s="14"/>
      <c r="I576" s="14"/>
      <c r="J576" s="18"/>
      <c r="K576" s="14"/>
      <c r="L576" s="18"/>
      <c r="M576" s="159"/>
      <c r="N576" s="18"/>
      <c r="O576" s="38"/>
    </row>
    <row r="577" spans="1:15">
      <c r="A577" s="18"/>
      <c r="B577" s="18"/>
      <c r="C577" s="18"/>
      <c r="D577" s="18"/>
      <c r="E577" s="14"/>
      <c r="F577" s="18"/>
      <c r="G577" s="13"/>
      <c r="H577" s="14"/>
      <c r="I577" s="14"/>
      <c r="J577" s="18"/>
      <c r="K577" s="14"/>
      <c r="L577" s="18"/>
      <c r="M577" s="159"/>
      <c r="N577" s="18"/>
      <c r="O577" s="38"/>
    </row>
    <row r="578" spans="1:15">
      <c r="A578" s="18"/>
      <c r="B578" s="18"/>
      <c r="C578" s="18"/>
      <c r="D578" s="18"/>
      <c r="E578" s="14"/>
      <c r="F578" s="18"/>
      <c r="G578" s="13"/>
      <c r="H578" s="14"/>
      <c r="I578" s="14"/>
      <c r="J578" s="18"/>
      <c r="K578" s="14"/>
      <c r="L578" s="18"/>
      <c r="M578" s="159"/>
      <c r="N578" s="18"/>
      <c r="O578" s="38"/>
    </row>
    <row r="579" spans="1:15">
      <c r="A579" s="18"/>
      <c r="B579" s="18"/>
      <c r="C579" s="18"/>
      <c r="D579" s="18"/>
      <c r="E579" s="14"/>
      <c r="F579" s="18"/>
      <c r="G579" s="13"/>
      <c r="H579" s="14"/>
      <c r="I579" s="14"/>
      <c r="J579" s="18"/>
      <c r="K579" s="14"/>
      <c r="L579" s="18"/>
      <c r="M579" s="159"/>
      <c r="N579" s="18"/>
      <c r="O579" s="38"/>
    </row>
    <row r="580" spans="1:15">
      <c r="A580" s="18"/>
      <c r="B580" s="18"/>
      <c r="C580" s="18"/>
      <c r="D580" s="18"/>
      <c r="E580" s="14"/>
      <c r="F580" s="18"/>
      <c r="G580" s="13"/>
      <c r="H580" s="14"/>
      <c r="I580" s="14"/>
      <c r="J580" s="18"/>
      <c r="K580" s="14"/>
      <c r="L580" s="18"/>
      <c r="M580" s="159"/>
      <c r="N580" s="18"/>
      <c r="O580" s="38"/>
    </row>
    <row r="581" spans="1:15">
      <c r="A581" s="18"/>
      <c r="B581" s="18"/>
      <c r="C581" s="18"/>
      <c r="D581" s="18"/>
      <c r="E581" s="14"/>
      <c r="F581" s="18"/>
      <c r="G581" s="13"/>
      <c r="H581" s="14"/>
      <c r="I581" s="14"/>
      <c r="J581" s="18"/>
      <c r="K581" s="14"/>
      <c r="L581" s="18"/>
      <c r="M581" s="159"/>
      <c r="N581" s="18"/>
      <c r="O581" s="38"/>
    </row>
    <row r="582" spans="1:15">
      <c r="A582" s="18"/>
      <c r="B582" s="18"/>
      <c r="C582" s="18"/>
      <c r="D582" s="18"/>
      <c r="E582" s="14"/>
      <c r="F582" s="18"/>
      <c r="G582" s="13"/>
      <c r="H582" s="14"/>
      <c r="I582" s="14"/>
      <c r="J582" s="18"/>
      <c r="K582" s="14"/>
      <c r="L582" s="18"/>
      <c r="M582" s="159"/>
      <c r="N582" s="18"/>
      <c r="O582" s="38"/>
    </row>
    <row r="583" spans="1:15">
      <c r="A583" s="18"/>
      <c r="B583" s="18"/>
      <c r="C583" s="18"/>
      <c r="D583" s="18"/>
      <c r="E583" s="14"/>
      <c r="F583" s="18"/>
      <c r="G583" s="13"/>
      <c r="H583" s="14"/>
      <c r="I583" s="14"/>
      <c r="J583" s="18"/>
      <c r="K583" s="14"/>
      <c r="L583" s="18"/>
      <c r="M583" s="159"/>
      <c r="N583" s="18"/>
      <c r="O583" s="38"/>
    </row>
    <row r="584" spans="1:15">
      <c r="A584" s="18"/>
      <c r="B584" s="18"/>
      <c r="C584" s="18"/>
      <c r="D584" s="18"/>
      <c r="E584" s="14"/>
      <c r="F584" s="18"/>
      <c r="G584" s="13"/>
      <c r="H584" s="14"/>
      <c r="I584" s="14"/>
      <c r="J584" s="18"/>
      <c r="K584" s="14"/>
      <c r="L584" s="18"/>
      <c r="M584" s="159"/>
      <c r="N584" s="18"/>
      <c r="O584" s="38"/>
    </row>
    <row r="585" spans="1:15">
      <c r="A585" s="18"/>
      <c r="B585" s="18"/>
      <c r="C585" s="18"/>
      <c r="D585" s="18"/>
      <c r="E585" s="14"/>
      <c r="F585" s="18"/>
      <c r="G585" s="13"/>
      <c r="H585" s="14"/>
      <c r="I585" s="14"/>
      <c r="J585" s="18"/>
      <c r="K585" s="14"/>
      <c r="L585" s="18"/>
      <c r="M585" s="159"/>
      <c r="N585" s="18"/>
      <c r="O585" s="38"/>
    </row>
    <row r="586" spans="1:15">
      <c r="A586" s="18"/>
      <c r="B586" s="18"/>
      <c r="C586" s="18"/>
      <c r="D586" s="18"/>
      <c r="E586" s="14"/>
      <c r="F586" s="18"/>
      <c r="G586" s="13"/>
      <c r="H586" s="14"/>
      <c r="I586" s="14"/>
      <c r="J586" s="18"/>
      <c r="K586" s="14"/>
      <c r="L586" s="18"/>
      <c r="M586" s="159"/>
      <c r="N586" s="18"/>
      <c r="O586" s="38"/>
    </row>
    <row r="587" spans="1:15">
      <c r="A587" s="18"/>
      <c r="B587" s="18"/>
      <c r="C587" s="18"/>
      <c r="D587" s="18"/>
      <c r="E587" s="14"/>
      <c r="F587" s="18"/>
      <c r="G587" s="13"/>
      <c r="H587" s="14"/>
      <c r="I587" s="14"/>
      <c r="J587" s="18"/>
      <c r="K587" s="14"/>
      <c r="L587" s="18"/>
      <c r="M587" s="159"/>
      <c r="N587" s="18"/>
      <c r="O587" s="38"/>
    </row>
    <row r="588" spans="1:15">
      <c r="A588" s="18"/>
      <c r="B588" s="18"/>
      <c r="C588" s="18"/>
      <c r="D588" s="18"/>
      <c r="E588" s="14"/>
      <c r="F588" s="18"/>
      <c r="G588" s="13"/>
      <c r="H588" s="14"/>
      <c r="I588" s="14"/>
      <c r="J588" s="18"/>
      <c r="K588" s="14"/>
      <c r="L588" s="18"/>
      <c r="M588" s="159"/>
      <c r="N588" s="18"/>
      <c r="O588" s="38"/>
    </row>
    <row r="589" spans="1:15">
      <c r="A589" s="18"/>
      <c r="B589" s="18"/>
      <c r="C589" s="18"/>
      <c r="D589" s="18"/>
      <c r="E589" s="14"/>
      <c r="F589" s="18"/>
      <c r="G589" s="13"/>
      <c r="H589" s="14"/>
      <c r="I589" s="14"/>
      <c r="J589" s="18"/>
      <c r="K589" s="14"/>
      <c r="L589" s="18"/>
      <c r="M589" s="159"/>
      <c r="N589" s="18"/>
      <c r="O589" s="38"/>
    </row>
    <row r="590" spans="1:15">
      <c r="A590" s="18"/>
      <c r="B590" s="18"/>
      <c r="C590" s="18"/>
      <c r="D590" s="18"/>
      <c r="E590" s="14"/>
      <c r="F590" s="18"/>
      <c r="G590" s="13"/>
      <c r="H590" s="14"/>
      <c r="I590" s="14"/>
      <c r="J590" s="18"/>
      <c r="K590" s="14"/>
      <c r="L590" s="18"/>
      <c r="M590" s="159"/>
      <c r="N590" s="18"/>
      <c r="O590" s="38"/>
    </row>
    <row r="591" spans="1:15">
      <c r="A591" s="18"/>
      <c r="B591" s="18"/>
      <c r="C591" s="18"/>
      <c r="D591" s="18"/>
      <c r="E591" s="14"/>
      <c r="F591" s="18"/>
      <c r="G591" s="13"/>
      <c r="H591" s="14"/>
      <c r="I591" s="14"/>
      <c r="J591" s="18"/>
      <c r="K591" s="14"/>
      <c r="L591" s="18"/>
      <c r="M591" s="159"/>
      <c r="N591" s="18"/>
      <c r="O591" s="38"/>
    </row>
    <row r="592" spans="1:15">
      <c r="A592" s="18"/>
      <c r="B592" s="18"/>
      <c r="C592" s="18"/>
      <c r="D592" s="18"/>
      <c r="E592" s="14"/>
      <c r="F592" s="18"/>
      <c r="G592" s="13"/>
      <c r="H592" s="14"/>
      <c r="I592" s="14"/>
      <c r="J592" s="18"/>
      <c r="K592" s="14"/>
      <c r="L592" s="18"/>
      <c r="M592" s="159"/>
      <c r="N592" s="18"/>
      <c r="O592" s="38"/>
    </row>
    <row r="593" spans="1:15">
      <c r="A593" s="18"/>
      <c r="B593" s="18"/>
      <c r="C593" s="18"/>
      <c r="D593" s="18"/>
      <c r="E593" s="14"/>
      <c r="F593" s="18"/>
      <c r="G593" s="13"/>
      <c r="H593" s="14"/>
      <c r="I593" s="14"/>
      <c r="J593" s="18"/>
      <c r="K593" s="14"/>
      <c r="L593" s="18"/>
      <c r="M593" s="159"/>
      <c r="N593" s="18"/>
      <c r="O593" s="38"/>
    </row>
    <row r="594" spans="1:15">
      <c r="A594" s="18"/>
      <c r="B594" s="18"/>
      <c r="C594" s="18"/>
      <c r="D594" s="18"/>
      <c r="E594" s="14"/>
      <c r="F594" s="18"/>
      <c r="G594" s="13"/>
      <c r="H594" s="14"/>
      <c r="I594" s="14"/>
      <c r="J594" s="18"/>
      <c r="K594" s="14"/>
      <c r="L594" s="18"/>
      <c r="M594" s="159"/>
      <c r="N594" s="18"/>
      <c r="O594" s="38"/>
    </row>
    <row r="595" spans="1:15">
      <c r="A595" s="18"/>
      <c r="B595" s="18"/>
      <c r="C595" s="18"/>
      <c r="D595" s="18"/>
      <c r="E595" s="14"/>
      <c r="F595" s="18"/>
      <c r="G595" s="13"/>
      <c r="H595" s="14"/>
      <c r="I595" s="14"/>
      <c r="J595" s="18"/>
      <c r="K595" s="14"/>
      <c r="L595" s="18"/>
      <c r="M595" s="159"/>
      <c r="N595" s="18"/>
      <c r="O595" s="38"/>
    </row>
    <row r="596" spans="1:15">
      <c r="A596" s="18"/>
      <c r="B596" s="18"/>
      <c r="C596" s="18"/>
      <c r="D596" s="18"/>
      <c r="E596" s="14"/>
      <c r="F596" s="18"/>
      <c r="G596" s="13"/>
      <c r="H596" s="14"/>
      <c r="I596" s="14"/>
      <c r="J596" s="18"/>
      <c r="K596" s="14"/>
      <c r="L596" s="18"/>
      <c r="M596" s="159"/>
      <c r="N596" s="18"/>
      <c r="O596" s="38"/>
    </row>
    <row r="597" spans="1:15">
      <c r="A597" s="18"/>
      <c r="B597" s="18"/>
      <c r="C597" s="18"/>
      <c r="D597" s="18"/>
      <c r="E597" s="14"/>
      <c r="F597" s="18"/>
      <c r="G597" s="13"/>
      <c r="H597" s="14"/>
      <c r="I597" s="14"/>
      <c r="J597" s="18"/>
      <c r="K597" s="14"/>
      <c r="L597" s="18"/>
      <c r="M597" s="159"/>
      <c r="N597" s="18"/>
      <c r="O597" s="38"/>
    </row>
    <row r="598" spans="1:15">
      <c r="A598" s="18"/>
      <c r="B598" s="18"/>
      <c r="C598" s="18"/>
      <c r="D598" s="18"/>
      <c r="E598" s="14"/>
      <c r="F598" s="18"/>
      <c r="G598" s="13"/>
      <c r="H598" s="14"/>
      <c r="I598" s="14"/>
      <c r="J598" s="18"/>
      <c r="K598" s="14"/>
      <c r="L598" s="18"/>
      <c r="M598" s="159"/>
      <c r="N598" s="18"/>
      <c r="O598" s="38"/>
    </row>
    <row r="599" spans="1:15">
      <c r="A599" s="18"/>
      <c r="B599" s="18"/>
      <c r="C599" s="18"/>
      <c r="D599" s="18"/>
      <c r="E599" s="14"/>
      <c r="F599" s="18"/>
      <c r="G599" s="13"/>
      <c r="H599" s="14"/>
      <c r="I599" s="14"/>
      <c r="J599" s="18"/>
      <c r="K599" s="14"/>
      <c r="L599" s="18"/>
      <c r="M599" s="159"/>
      <c r="N599" s="18"/>
      <c r="O599" s="38"/>
    </row>
    <row r="600" spans="1:15">
      <c r="A600" s="18"/>
      <c r="B600" s="18"/>
      <c r="C600" s="18"/>
      <c r="D600" s="18"/>
      <c r="E600" s="14"/>
      <c r="F600" s="18"/>
      <c r="G600" s="13"/>
      <c r="H600" s="14"/>
      <c r="I600" s="14"/>
      <c r="J600" s="18"/>
      <c r="K600" s="14"/>
      <c r="L600" s="18"/>
      <c r="M600" s="159"/>
      <c r="N600" s="18"/>
      <c r="O600" s="38"/>
    </row>
    <row r="601" spans="1:15">
      <c r="A601" s="18"/>
      <c r="B601" s="18"/>
      <c r="C601" s="18"/>
      <c r="D601" s="18"/>
      <c r="E601" s="14"/>
      <c r="F601" s="18"/>
      <c r="G601" s="13"/>
      <c r="H601" s="14"/>
      <c r="I601" s="14"/>
      <c r="J601" s="18"/>
      <c r="K601" s="14"/>
      <c r="L601" s="18"/>
      <c r="M601" s="159"/>
      <c r="N601" s="18"/>
      <c r="O601" s="38"/>
    </row>
    <row r="602" spans="1:15">
      <c r="A602" s="18"/>
      <c r="B602" s="18"/>
      <c r="C602" s="18"/>
      <c r="D602" s="18"/>
      <c r="E602" s="14"/>
      <c r="F602" s="18"/>
      <c r="G602" s="13"/>
      <c r="H602" s="14"/>
      <c r="I602" s="14"/>
      <c r="J602" s="18"/>
      <c r="K602" s="14"/>
      <c r="L602" s="18"/>
      <c r="M602" s="159"/>
      <c r="N602" s="18"/>
      <c r="O602" s="38"/>
    </row>
    <row r="603" spans="1:15">
      <c r="A603" s="18"/>
      <c r="B603" s="18"/>
      <c r="C603" s="18"/>
      <c r="D603" s="18"/>
      <c r="E603" s="14"/>
      <c r="F603" s="18"/>
      <c r="G603" s="13"/>
      <c r="H603" s="14"/>
      <c r="I603" s="14"/>
      <c r="J603" s="18"/>
      <c r="K603" s="14"/>
      <c r="L603" s="18"/>
      <c r="M603" s="159"/>
      <c r="N603" s="18"/>
      <c r="O603" s="38"/>
    </row>
    <row r="604" spans="1:15">
      <c r="A604" s="18"/>
      <c r="B604" s="18"/>
      <c r="C604" s="18"/>
      <c r="D604" s="18"/>
      <c r="E604" s="14"/>
      <c r="F604" s="18"/>
      <c r="G604" s="13"/>
      <c r="H604" s="14"/>
      <c r="I604" s="14"/>
      <c r="J604" s="18"/>
      <c r="K604" s="14"/>
      <c r="L604" s="18"/>
      <c r="M604" s="159"/>
      <c r="N604" s="18"/>
      <c r="O604" s="38"/>
    </row>
    <row r="605" spans="1:15">
      <c r="A605" s="18"/>
      <c r="B605" s="18"/>
      <c r="C605" s="18"/>
      <c r="D605" s="18"/>
      <c r="E605" s="14"/>
      <c r="F605" s="18"/>
      <c r="G605" s="13"/>
      <c r="H605" s="14"/>
      <c r="I605" s="14"/>
      <c r="J605" s="18"/>
      <c r="K605" s="14"/>
      <c r="L605" s="18"/>
      <c r="M605" s="159"/>
      <c r="N605" s="18"/>
      <c r="O605" s="38"/>
    </row>
    <row r="606" spans="1:15">
      <c r="A606" s="18"/>
      <c r="B606" s="18"/>
      <c r="C606" s="18"/>
      <c r="D606" s="18"/>
      <c r="E606" s="14"/>
      <c r="F606" s="18"/>
      <c r="G606" s="13"/>
      <c r="H606" s="14"/>
      <c r="I606" s="14"/>
      <c r="J606" s="18"/>
      <c r="K606" s="14"/>
      <c r="L606" s="18"/>
      <c r="M606" s="159"/>
      <c r="N606" s="18"/>
      <c r="O606" s="38"/>
    </row>
    <row r="607" spans="1:15">
      <c r="A607" s="18"/>
      <c r="B607" s="18"/>
      <c r="C607" s="18"/>
      <c r="D607" s="18"/>
      <c r="E607" s="14"/>
      <c r="F607" s="18"/>
      <c r="G607" s="13"/>
      <c r="H607" s="14"/>
      <c r="I607" s="14"/>
      <c r="J607" s="18"/>
      <c r="K607" s="14"/>
      <c r="L607" s="18"/>
      <c r="M607" s="159"/>
      <c r="N607" s="18"/>
      <c r="O607" s="38"/>
    </row>
    <row r="608" spans="1:15">
      <c r="A608" s="18"/>
      <c r="B608" s="18"/>
      <c r="C608" s="18"/>
      <c r="D608" s="18"/>
      <c r="E608" s="14"/>
      <c r="F608" s="18"/>
      <c r="G608" s="13"/>
      <c r="H608" s="14"/>
      <c r="I608" s="14"/>
      <c r="J608" s="18"/>
      <c r="K608" s="14"/>
      <c r="L608" s="18"/>
      <c r="M608" s="159"/>
      <c r="N608" s="18"/>
      <c r="O608" s="38"/>
    </row>
    <row r="609" spans="1:15">
      <c r="A609" s="18"/>
      <c r="B609" s="18"/>
      <c r="C609" s="18"/>
      <c r="D609" s="18"/>
      <c r="E609" s="14"/>
      <c r="F609" s="18"/>
      <c r="G609" s="13"/>
      <c r="H609" s="14"/>
      <c r="I609" s="14"/>
      <c r="J609" s="18"/>
      <c r="K609" s="14"/>
      <c r="L609" s="18"/>
      <c r="M609" s="159"/>
      <c r="N609" s="18"/>
      <c r="O609" s="38"/>
    </row>
    <row r="610" spans="1:15">
      <c r="A610" s="18"/>
      <c r="B610" s="18"/>
      <c r="C610" s="18"/>
      <c r="D610" s="18"/>
      <c r="E610" s="14"/>
      <c r="F610" s="18"/>
      <c r="G610" s="13"/>
      <c r="H610" s="14"/>
      <c r="I610" s="14"/>
      <c r="J610" s="18"/>
      <c r="K610" s="14"/>
      <c r="L610" s="18"/>
      <c r="M610" s="159"/>
      <c r="N610" s="18"/>
      <c r="O610" s="38"/>
    </row>
    <row r="611" spans="1:15">
      <c r="A611" s="18"/>
      <c r="B611" s="18"/>
      <c r="C611" s="18"/>
      <c r="D611" s="18"/>
      <c r="E611" s="14"/>
      <c r="F611" s="18"/>
      <c r="G611" s="13"/>
      <c r="H611" s="14"/>
      <c r="I611" s="14"/>
      <c r="J611" s="18"/>
      <c r="K611" s="14"/>
      <c r="L611" s="18"/>
      <c r="M611" s="159"/>
      <c r="N611" s="18"/>
      <c r="O611" s="38"/>
    </row>
    <row r="612" spans="1:15">
      <c r="A612" s="18"/>
      <c r="B612" s="18"/>
      <c r="C612" s="18"/>
      <c r="D612" s="18"/>
      <c r="E612" s="14"/>
      <c r="F612" s="18"/>
      <c r="G612" s="13"/>
      <c r="H612" s="14"/>
      <c r="I612" s="14"/>
      <c r="J612" s="18"/>
      <c r="K612" s="14"/>
      <c r="L612" s="18"/>
      <c r="M612" s="159"/>
      <c r="N612" s="18"/>
      <c r="O612" s="38"/>
    </row>
    <row r="613" spans="1:15">
      <c r="A613" s="18"/>
      <c r="B613" s="18"/>
      <c r="C613" s="18"/>
      <c r="D613" s="18"/>
      <c r="E613" s="14"/>
      <c r="F613" s="18"/>
      <c r="G613" s="13"/>
      <c r="H613" s="14"/>
      <c r="I613" s="14"/>
      <c r="J613" s="18"/>
      <c r="K613" s="14"/>
      <c r="L613" s="18"/>
      <c r="M613" s="159"/>
      <c r="N613" s="18"/>
      <c r="O613" s="38"/>
    </row>
    <row r="614" spans="1:15">
      <c r="A614" s="18"/>
      <c r="B614" s="18"/>
      <c r="C614" s="18"/>
      <c r="D614" s="18"/>
      <c r="E614" s="14"/>
      <c r="F614" s="18"/>
      <c r="G614" s="13"/>
      <c r="H614" s="14"/>
      <c r="I614" s="14"/>
      <c r="J614" s="18"/>
      <c r="K614" s="14"/>
      <c r="L614" s="18"/>
      <c r="M614" s="159"/>
      <c r="N614" s="18"/>
      <c r="O614" s="38"/>
    </row>
    <row r="615" spans="1:15">
      <c r="A615" s="18"/>
      <c r="B615" s="18"/>
      <c r="C615" s="18"/>
      <c r="D615" s="18"/>
      <c r="E615" s="14"/>
      <c r="F615" s="18"/>
      <c r="G615" s="13"/>
      <c r="H615" s="14"/>
      <c r="I615" s="14"/>
      <c r="J615" s="18"/>
      <c r="K615" s="14"/>
      <c r="L615" s="18"/>
      <c r="M615" s="159"/>
      <c r="N615" s="18"/>
      <c r="O615" s="38"/>
    </row>
    <row r="616" spans="1:15">
      <c r="A616" s="18"/>
      <c r="B616" s="18"/>
      <c r="C616" s="18"/>
      <c r="D616" s="18"/>
      <c r="E616" s="14"/>
      <c r="F616" s="18"/>
      <c r="G616" s="13"/>
      <c r="H616" s="14"/>
      <c r="I616" s="14"/>
      <c r="J616" s="18"/>
      <c r="K616" s="14"/>
      <c r="L616" s="18"/>
      <c r="M616" s="159"/>
      <c r="N616" s="18"/>
      <c r="O616" s="38"/>
    </row>
    <row r="617" spans="1:15">
      <c r="A617" s="18"/>
      <c r="B617" s="18"/>
      <c r="C617" s="18"/>
      <c r="D617" s="18"/>
      <c r="E617" s="14"/>
      <c r="F617" s="18"/>
      <c r="G617" s="13"/>
      <c r="H617" s="14"/>
      <c r="I617" s="14"/>
      <c r="J617" s="18"/>
      <c r="K617" s="14"/>
      <c r="L617" s="18"/>
      <c r="M617" s="159"/>
      <c r="N617" s="18"/>
      <c r="O617" s="38"/>
    </row>
    <row r="618" spans="1:15">
      <c r="A618" s="18"/>
      <c r="B618" s="18"/>
      <c r="C618" s="18"/>
      <c r="D618" s="18"/>
      <c r="E618" s="14"/>
      <c r="F618" s="18"/>
      <c r="G618" s="13"/>
      <c r="H618" s="14"/>
      <c r="I618" s="14"/>
      <c r="J618" s="18"/>
      <c r="K618" s="14"/>
      <c r="L618" s="18"/>
      <c r="M618" s="159"/>
      <c r="N618" s="18"/>
      <c r="O618" s="38"/>
    </row>
    <row r="619" spans="1:15">
      <c r="A619" s="18"/>
      <c r="B619" s="18"/>
      <c r="C619" s="18"/>
      <c r="D619" s="18"/>
      <c r="E619" s="14"/>
      <c r="F619" s="18"/>
      <c r="G619" s="13"/>
      <c r="H619" s="14"/>
      <c r="I619" s="14"/>
      <c r="J619" s="18"/>
      <c r="K619" s="14"/>
      <c r="L619" s="18"/>
      <c r="M619" s="159"/>
      <c r="N619" s="18"/>
      <c r="O619" s="38"/>
    </row>
    <row r="620" spans="1:15">
      <c r="A620" s="18"/>
      <c r="B620" s="18"/>
      <c r="C620" s="18"/>
      <c r="D620" s="18"/>
      <c r="E620" s="14"/>
      <c r="F620" s="18"/>
      <c r="G620" s="13"/>
      <c r="H620" s="14"/>
      <c r="I620" s="14"/>
      <c r="J620" s="18"/>
      <c r="K620" s="14"/>
      <c r="L620" s="18"/>
      <c r="M620" s="159"/>
      <c r="N620" s="18"/>
      <c r="O620" s="38"/>
    </row>
    <row r="621" spans="1:15">
      <c r="A621" s="18"/>
      <c r="B621" s="18"/>
      <c r="C621" s="18"/>
      <c r="D621" s="18"/>
      <c r="E621" s="14"/>
      <c r="F621" s="18"/>
      <c r="G621" s="13"/>
      <c r="H621" s="14"/>
      <c r="I621" s="14"/>
      <c r="J621" s="18"/>
      <c r="K621" s="14"/>
      <c r="L621" s="18"/>
      <c r="M621" s="159"/>
      <c r="N621" s="18"/>
      <c r="O621" s="38"/>
    </row>
    <row r="622" spans="1:15">
      <c r="A622" s="18"/>
      <c r="B622" s="18"/>
      <c r="C622" s="18"/>
      <c r="D622" s="18"/>
      <c r="E622" s="14"/>
      <c r="F622" s="18"/>
      <c r="G622" s="13"/>
      <c r="H622" s="14"/>
      <c r="I622" s="14"/>
      <c r="J622" s="18"/>
      <c r="K622" s="14"/>
      <c r="L622" s="18"/>
      <c r="M622" s="159"/>
      <c r="N622" s="18"/>
      <c r="O622" s="38"/>
    </row>
    <row r="623" spans="1:15">
      <c r="A623" s="18"/>
      <c r="B623" s="18"/>
      <c r="C623" s="18"/>
      <c r="D623" s="18"/>
      <c r="E623" s="14"/>
      <c r="F623" s="18"/>
      <c r="G623" s="13"/>
      <c r="H623" s="14"/>
      <c r="I623" s="14"/>
      <c r="J623" s="18"/>
      <c r="K623" s="14"/>
      <c r="L623" s="18"/>
      <c r="M623" s="159"/>
      <c r="N623" s="18"/>
      <c r="O623" s="38"/>
    </row>
    <row r="624" spans="1:15">
      <c r="A624" s="18"/>
      <c r="B624" s="18"/>
      <c r="C624" s="18"/>
      <c r="D624" s="18"/>
      <c r="E624" s="14"/>
      <c r="F624" s="18"/>
      <c r="G624" s="13"/>
      <c r="H624" s="14"/>
      <c r="I624" s="14"/>
      <c r="J624" s="18"/>
      <c r="K624" s="14"/>
      <c r="L624" s="18"/>
      <c r="M624" s="159"/>
      <c r="N624" s="18"/>
      <c r="O624" s="38"/>
    </row>
    <row r="625" spans="1:15">
      <c r="A625" s="18"/>
      <c r="B625" s="18"/>
      <c r="C625" s="18"/>
      <c r="D625" s="18"/>
      <c r="E625" s="14"/>
      <c r="F625" s="18"/>
      <c r="G625" s="13"/>
      <c r="H625" s="14"/>
      <c r="I625" s="14"/>
      <c r="J625" s="18"/>
      <c r="K625" s="14"/>
      <c r="L625" s="18"/>
      <c r="M625" s="159"/>
      <c r="N625" s="18"/>
      <c r="O625" s="38"/>
    </row>
    <row r="626" spans="1:15">
      <c r="A626" s="18"/>
      <c r="B626" s="18"/>
      <c r="C626" s="18"/>
      <c r="D626" s="18"/>
      <c r="E626" s="14"/>
      <c r="F626" s="18"/>
      <c r="G626" s="13"/>
      <c r="H626" s="14"/>
      <c r="I626" s="14"/>
      <c r="J626" s="18"/>
      <c r="K626" s="14"/>
      <c r="L626" s="18"/>
      <c r="M626" s="159"/>
      <c r="N626" s="18"/>
      <c r="O626" s="38"/>
    </row>
    <row r="627" spans="1:15">
      <c r="A627" s="18"/>
      <c r="B627" s="18"/>
      <c r="C627" s="18"/>
      <c r="D627" s="18"/>
      <c r="E627" s="14"/>
      <c r="F627" s="18"/>
      <c r="G627" s="13"/>
      <c r="H627" s="14"/>
      <c r="I627" s="14"/>
      <c r="J627" s="18"/>
      <c r="K627" s="14"/>
      <c r="L627" s="18"/>
      <c r="M627" s="159"/>
      <c r="N627" s="18"/>
      <c r="O627" s="38"/>
    </row>
    <row r="628" spans="1:15">
      <c r="A628" s="18"/>
      <c r="B628" s="18"/>
      <c r="C628" s="18"/>
      <c r="D628" s="18"/>
      <c r="E628" s="14"/>
      <c r="F628" s="18"/>
      <c r="G628" s="13"/>
      <c r="H628" s="14"/>
      <c r="I628" s="14"/>
      <c r="J628" s="18"/>
      <c r="K628" s="14"/>
      <c r="L628" s="18"/>
      <c r="M628" s="159"/>
      <c r="N628" s="18"/>
      <c r="O628" s="38"/>
    </row>
    <row r="629" spans="1:15">
      <c r="A629" s="18"/>
      <c r="B629" s="18"/>
      <c r="C629" s="18"/>
      <c r="D629" s="18"/>
      <c r="E629" s="14"/>
      <c r="F629" s="18"/>
      <c r="G629" s="13"/>
      <c r="H629" s="14"/>
      <c r="I629" s="14"/>
      <c r="J629" s="18"/>
      <c r="K629" s="14"/>
      <c r="L629" s="18"/>
      <c r="M629" s="159"/>
      <c r="N629" s="18"/>
      <c r="O629" s="38"/>
    </row>
    <row r="630" spans="1:15">
      <c r="A630" s="18"/>
      <c r="B630" s="18"/>
      <c r="C630" s="18"/>
      <c r="D630" s="18"/>
      <c r="E630" s="14"/>
      <c r="F630" s="18"/>
      <c r="G630" s="13"/>
      <c r="H630" s="14"/>
      <c r="I630" s="14"/>
      <c r="J630" s="18"/>
      <c r="K630" s="14"/>
      <c r="L630" s="18"/>
      <c r="M630" s="159"/>
      <c r="N630" s="18"/>
      <c r="O630" s="38"/>
    </row>
    <row r="631" spans="1:15">
      <c r="A631" s="18"/>
      <c r="B631" s="18"/>
      <c r="C631" s="18"/>
      <c r="D631" s="18"/>
      <c r="E631" s="14"/>
      <c r="F631" s="18"/>
      <c r="G631" s="13"/>
      <c r="H631" s="14"/>
      <c r="I631" s="14"/>
      <c r="J631" s="18"/>
      <c r="K631" s="14"/>
      <c r="L631" s="18"/>
      <c r="M631" s="159"/>
      <c r="N631" s="18"/>
      <c r="O631" s="38"/>
    </row>
    <row r="632" spans="1:15">
      <c r="A632" s="18"/>
      <c r="B632" s="18"/>
      <c r="C632" s="18"/>
      <c r="D632" s="18"/>
      <c r="E632" s="14"/>
      <c r="F632" s="18"/>
      <c r="G632" s="13"/>
      <c r="H632" s="14"/>
      <c r="I632" s="14"/>
      <c r="J632" s="18"/>
      <c r="K632" s="14"/>
      <c r="L632" s="18"/>
      <c r="M632" s="159"/>
      <c r="N632" s="18"/>
      <c r="O632" s="38"/>
    </row>
    <row r="633" spans="1:15">
      <c r="A633" s="18"/>
      <c r="B633" s="18"/>
      <c r="C633" s="18"/>
      <c r="D633" s="18"/>
      <c r="E633" s="14"/>
      <c r="F633" s="18"/>
      <c r="G633" s="13"/>
      <c r="H633" s="14"/>
      <c r="I633" s="14"/>
      <c r="J633" s="18"/>
      <c r="K633" s="14"/>
      <c r="L633" s="18"/>
      <c r="M633" s="159"/>
      <c r="N633" s="18"/>
      <c r="O633" s="38"/>
    </row>
    <row r="634" spans="1:15">
      <c r="A634" s="18"/>
      <c r="B634" s="18"/>
      <c r="C634" s="18"/>
      <c r="D634" s="18"/>
      <c r="E634" s="14"/>
      <c r="F634" s="18"/>
      <c r="G634" s="13"/>
      <c r="H634" s="14"/>
      <c r="I634" s="14"/>
      <c r="J634" s="18"/>
      <c r="K634" s="14"/>
      <c r="L634" s="18"/>
      <c r="M634" s="159"/>
      <c r="N634" s="18"/>
      <c r="O634" s="38"/>
    </row>
    <row r="635" spans="1:15">
      <c r="A635" s="18"/>
      <c r="B635" s="18"/>
      <c r="C635" s="18"/>
      <c r="D635" s="18"/>
      <c r="E635" s="14"/>
      <c r="F635" s="18"/>
      <c r="G635" s="13"/>
      <c r="H635" s="14"/>
      <c r="I635" s="14"/>
      <c r="J635" s="18"/>
      <c r="K635" s="14"/>
      <c r="L635" s="18"/>
      <c r="M635" s="159"/>
      <c r="N635" s="18"/>
      <c r="O635" s="38"/>
    </row>
    <row r="636" spans="1:15">
      <c r="A636" s="18"/>
      <c r="B636" s="18"/>
      <c r="C636" s="18"/>
      <c r="D636" s="18"/>
      <c r="E636" s="14"/>
      <c r="F636" s="18"/>
      <c r="G636" s="13"/>
      <c r="H636" s="14"/>
      <c r="I636" s="14"/>
      <c r="J636" s="18"/>
      <c r="K636" s="14"/>
      <c r="L636" s="18"/>
      <c r="M636" s="159"/>
      <c r="N636" s="18"/>
      <c r="O636" s="38"/>
    </row>
    <row r="637" spans="1:15">
      <c r="A637" s="18"/>
      <c r="B637" s="18"/>
      <c r="C637" s="18"/>
      <c r="D637" s="18"/>
      <c r="E637" s="14"/>
      <c r="F637" s="18"/>
      <c r="G637" s="13"/>
      <c r="H637" s="14"/>
      <c r="I637" s="14"/>
      <c r="J637" s="18"/>
      <c r="K637" s="14"/>
      <c r="L637" s="18"/>
      <c r="M637" s="159"/>
      <c r="N637" s="18"/>
      <c r="O637" s="38"/>
    </row>
    <row r="638" spans="1:15">
      <c r="A638" s="18"/>
      <c r="B638" s="18"/>
      <c r="C638" s="18"/>
      <c r="D638" s="18"/>
      <c r="E638" s="14"/>
      <c r="F638" s="18"/>
      <c r="G638" s="13"/>
      <c r="H638" s="14"/>
      <c r="I638" s="14"/>
      <c r="J638" s="18"/>
      <c r="K638" s="14"/>
      <c r="L638" s="18"/>
      <c r="M638" s="159"/>
      <c r="N638" s="18"/>
      <c r="O638" s="38"/>
    </row>
    <row r="639" spans="1:15">
      <c r="A639" s="18"/>
      <c r="B639" s="18"/>
      <c r="C639" s="18"/>
      <c r="D639" s="18"/>
      <c r="E639" s="14"/>
      <c r="F639" s="18"/>
      <c r="G639" s="13"/>
      <c r="H639" s="14"/>
      <c r="I639" s="14"/>
      <c r="J639" s="18"/>
      <c r="K639" s="14"/>
      <c r="L639" s="18"/>
      <c r="M639" s="159"/>
      <c r="N639" s="18"/>
      <c r="O639" s="38"/>
    </row>
    <row r="640" spans="1:15">
      <c r="A640" s="18"/>
      <c r="B640" s="18"/>
      <c r="C640" s="18"/>
      <c r="D640" s="18"/>
      <c r="E640" s="14"/>
      <c r="F640" s="18"/>
      <c r="G640" s="13"/>
      <c r="H640" s="14"/>
      <c r="I640" s="14"/>
      <c r="J640" s="18"/>
      <c r="K640" s="14"/>
      <c r="L640" s="18"/>
      <c r="M640" s="159"/>
      <c r="N640" s="18"/>
      <c r="O640" s="38"/>
    </row>
    <row r="641" spans="1:15">
      <c r="A641" s="18"/>
      <c r="B641" s="18"/>
      <c r="C641" s="18"/>
      <c r="D641" s="18"/>
      <c r="E641" s="14"/>
      <c r="F641" s="18"/>
      <c r="G641" s="13"/>
      <c r="H641" s="14"/>
      <c r="I641" s="14"/>
      <c r="J641" s="18"/>
      <c r="K641" s="14"/>
      <c r="L641" s="18"/>
      <c r="M641" s="159"/>
      <c r="N641" s="18"/>
      <c r="O641" s="38"/>
    </row>
    <row r="642" spans="1:15">
      <c r="A642" s="18"/>
      <c r="B642" s="18"/>
      <c r="C642" s="18"/>
      <c r="D642" s="18"/>
      <c r="E642" s="14"/>
      <c r="F642" s="18"/>
      <c r="G642" s="13"/>
      <c r="H642" s="14"/>
      <c r="I642" s="14"/>
      <c r="J642" s="18"/>
      <c r="K642" s="14"/>
      <c r="L642" s="18"/>
      <c r="M642" s="159"/>
      <c r="N642" s="18"/>
      <c r="O642" s="38"/>
    </row>
    <row r="643" spans="1:15">
      <c r="A643" s="18"/>
      <c r="B643" s="18"/>
      <c r="C643" s="18"/>
      <c r="D643" s="18"/>
      <c r="E643" s="14"/>
      <c r="F643" s="18"/>
      <c r="G643" s="13"/>
      <c r="H643" s="14"/>
      <c r="I643" s="14"/>
      <c r="J643" s="18"/>
      <c r="K643" s="14"/>
      <c r="L643" s="18"/>
      <c r="M643" s="159"/>
      <c r="N643" s="18"/>
      <c r="O643" s="38"/>
    </row>
    <row r="644" spans="1:15">
      <c r="A644" s="18"/>
      <c r="B644" s="18"/>
      <c r="C644" s="18"/>
      <c r="D644" s="18"/>
      <c r="E644" s="14"/>
      <c r="F644" s="18"/>
      <c r="G644" s="13"/>
      <c r="H644" s="14"/>
      <c r="I644" s="14"/>
      <c r="J644" s="18"/>
      <c r="K644" s="14"/>
      <c r="L644" s="18"/>
      <c r="M644" s="159"/>
      <c r="N644" s="18"/>
      <c r="O644" s="38"/>
    </row>
    <row r="645" spans="1:15">
      <c r="A645" s="18"/>
      <c r="B645" s="18"/>
      <c r="C645" s="18"/>
      <c r="D645" s="18"/>
      <c r="E645" s="14"/>
      <c r="F645" s="18"/>
      <c r="G645" s="13"/>
      <c r="H645" s="14"/>
      <c r="I645" s="14"/>
      <c r="J645" s="18"/>
      <c r="K645" s="14"/>
      <c r="L645" s="18"/>
      <c r="M645" s="159"/>
      <c r="N645" s="18"/>
      <c r="O645" s="38"/>
    </row>
    <row r="646" spans="1:15">
      <c r="A646" s="18"/>
      <c r="B646" s="18"/>
      <c r="C646" s="18"/>
      <c r="D646" s="18"/>
      <c r="E646" s="14"/>
      <c r="F646" s="18"/>
      <c r="G646" s="13"/>
      <c r="H646" s="14"/>
      <c r="I646" s="14"/>
      <c r="J646" s="18"/>
      <c r="K646" s="14"/>
      <c r="L646" s="18"/>
      <c r="M646" s="159"/>
      <c r="N646" s="18"/>
      <c r="O646" s="38"/>
    </row>
    <row r="647" spans="1:15">
      <c r="A647" s="18"/>
      <c r="B647" s="18"/>
      <c r="C647" s="18"/>
      <c r="D647" s="18"/>
      <c r="E647" s="14"/>
      <c r="F647" s="18"/>
      <c r="G647" s="13"/>
      <c r="H647" s="14"/>
      <c r="I647" s="14"/>
      <c r="J647" s="18"/>
      <c r="K647" s="14"/>
      <c r="L647" s="18"/>
      <c r="M647" s="159"/>
      <c r="N647" s="18"/>
      <c r="O647" s="38"/>
    </row>
    <row r="648" spans="1:15">
      <c r="A648" s="18"/>
      <c r="B648" s="18"/>
      <c r="C648" s="18"/>
      <c r="D648" s="18"/>
      <c r="E648" s="14"/>
      <c r="F648" s="18"/>
      <c r="G648" s="13"/>
      <c r="H648" s="14"/>
      <c r="I648" s="14"/>
      <c r="J648" s="18"/>
      <c r="K648" s="14"/>
      <c r="L648" s="18"/>
      <c r="M648" s="159"/>
      <c r="N648" s="18"/>
      <c r="O648" s="38"/>
    </row>
    <row r="649" spans="1:15">
      <c r="A649" s="18"/>
      <c r="B649" s="18"/>
      <c r="C649" s="18"/>
      <c r="D649" s="18"/>
      <c r="E649" s="14"/>
      <c r="F649" s="18"/>
      <c r="G649" s="13"/>
      <c r="H649" s="14"/>
      <c r="I649" s="14"/>
      <c r="J649" s="18"/>
      <c r="K649" s="14"/>
      <c r="L649" s="18"/>
      <c r="M649" s="159"/>
      <c r="N649" s="18"/>
      <c r="O649" s="38"/>
    </row>
    <row r="650" spans="1:15">
      <c r="A650" s="18"/>
      <c r="B650" s="18"/>
      <c r="C650" s="18"/>
      <c r="D650" s="18"/>
      <c r="E650" s="14"/>
      <c r="F650" s="18"/>
      <c r="G650" s="13"/>
      <c r="H650" s="14"/>
      <c r="I650" s="14"/>
      <c r="J650" s="18"/>
      <c r="K650" s="14"/>
      <c r="L650" s="18"/>
      <c r="M650" s="159"/>
      <c r="N650" s="18"/>
      <c r="O650" s="38"/>
    </row>
    <row r="651" spans="1:15">
      <c r="A651" s="18"/>
      <c r="B651" s="18"/>
      <c r="C651" s="18"/>
      <c r="D651" s="18"/>
      <c r="E651" s="14"/>
      <c r="F651" s="18"/>
      <c r="G651" s="13"/>
      <c r="H651" s="14"/>
      <c r="I651" s="14"/>
      <c r="J651" s="18"/>
      <c r="K651" s="14"/>
      <c r="L651" s="18"/>
      <c r="M651" s="159"/>
      <c r="N651" s="18"/>
      <c r="O651" s="38"/>
    </row>
    <row r="652" spans="1:15">
      <c r="A652" s="18"/>
      <c r="B652" s="18"/>
      <c r="C652" s="18"/>
      <c r="D652" s="18"/>
      <c r="E652" s="14"/>
      <c r="F652" s="18"/>
      <c r="G652" s="13"/>
      <c r="H652" s="14"/>
      <c r="I652" s="14"/>
      <c r="J652" s="18"/>
      <c r="K652" s="14"/>
      <c r="L652" s="18"/>
      <c r="M652" s="159"/>
      <c r="N652" s="18"/>
      <c r="O652" s="38"/>
    </row>
    <row r="653" spans="1:15">
      <c r="A653" s="18"/>
      <c r="B653" s="18"/>
      <c r="C653" s="18"/>
      <c r="D653" s="18"/>
      <c r="E653" s="14"/>
      <c r="F653" s="18"/>
      <c r="G653" s="13"/>
      <c r="H653" s="14"/>
      <c r="I653" s="14"/>
      <c r="J653" s="18"/>
      <c r="K653" s="14"/>
      <c r="L653" s="18"/>
      <c r="M653" s="159"/>
      <c r="N653" s="18"/>
      <c r="O653" s="38"/>
    </row>
    <row r="654" spans="1:15">
      <c r="A654" s="18"/>
      <c r="B654" s="18"/>
      <c r="C654" s="18"/>
      <c r="D654" s="18"/>
      <c r="E654" s="14"/>
      <c r="F654" s="18"/>
      <c r="G654" s="13"/>
      <c r="H654" s="14"/>
      <c r="I654" s="14"/>
      <c r="J654" s="18"/>
      <c r="K654" s="14"/>
      <c r="L654" s="18"/>
      <c r="M654" s="159"/>
      <c r="N654" s="18"/>
      <c r="O654" s="38"/>
    </row>
    <row r="655" spans="1:15">
      <c r="A655" s="18"/>
      <c r="B655" s="18"/>
      <c r="C655" s="18"/>
      <c r="D655" s="18"/>
      <c r="E655" s="14"/>
      <c r="F655" s="18"/>
      <c r="G655" s="13"/>
      <c r="H655" s="14"/>
      <c r="I655" s="14"/>
      <c r="J655" s="18"/>
      <c r="K655" s="14"/>
      <c r="L655" s="18"/>
      <c r="M655" s="159"/>
      <c r="N655" s="18"/>
      <c r="O655" s="38"/>
    </row>
    <row r="656" spans="1:15">
      <c r="A656" s="18"/>
      <c r="B656" s="18"/>
      <c r="C656" s="18"/>
      <c r="D656" s="18"/>
      <c r="E656" s="14"/>
      <c r="F656" s="18"/>
      <c r="G656" s="13"/>
      <c r="H656" s="14"/>
      <c r="I656" s="14"/>
      <c r="J656" s="18"/>
      <c r="K656" s="14"/>
      <c r="L656" s="18"/>
      <c r="M656" s="159"/>
      <c r="N656" s="18"/>
      <c r="O656" s="38"/>
    </row>
    <row r="657" spans="1:15">
      <c r="A657" s="18"/>
      <c r="B657" s="18"/>
      <c r="C657" s="18"/>
      <c r="D657" s="18"/>
      <c r="E657" s="14"/>
      <c r="F657" s="18"/>
      <c r="G657" s="13"/>
      <c r="H657" s="14"/>
      <c r="I657" s="14"/>
      <c r="J657" s="18"/>
      <c r="K657" s="14"/>
      <c r="L657" s="18"/>
      <c r="M657" s="159"/>
      <c r="N657" s="18"/>
      <c r="O657" s="38"/>
    </row>
    <row r="658" spans="1:15">
      <c r="A658" s="18"/>
      <c r="B658" s="18"/>
      <c r="C658" s="18"/>
      <c r="D658" s="18"/>
      <c r="E658" s="14"/>
      <c r="F658" s="18"/>
      <c r="G658" s="13"/>
      <c r="H658" s="14"/>
      <c r="I658" s="14"/>
      <c r="J658" s="18"/>
      <c r="K658" s="14"/>
      <c r="L658" s="18"/>
      <c r="M658" s="159"/>
      <c r="N658" s="18"/>
      <c r="O658" s="38"/>
    </row>
    <row r="659" spans="1:15">
      <c r="A659" s="18"/>
      <c r="B659" s="18"/>
      <c r="C659" s="18"/>
      <c r="D659" s="18"/>
      <c r="E659" s="14"/>
      <c r="F659" s="18"/>
      <c r="G659" s="13"/>
      <c r="H659" s="14"/>
      <c r="I659" s="14"/>
      <c r="J659" s="18"/>
      <c r="K659" s="14"/>
      <c r="L659" s="18"/>
      <c r="M659" s="159"/>
      <c r="N659" s="18"/>
      <c r="O659" s="38"/>
    </row>
    <row r="660" spans="1:15">
      <c r="A660" s="18"/>
      <c r="B660" s="18"/>
      <c r="C660" s="18"/>
      <c r="D660" s="18"/>
      <c r="E660" s="14"/>
      <c r="F660" s="18"/>
      <c r="G660" s="13"/>
      <c r="H660" s="14"/>
      <c r="I660" s="14"/>
      <c r="J660" s="18"/>
      <c r="K660" s="14"/>
      <c r="L660" s="18"/>
      <c r="M660" s="159"/>
      <c r="N660" s="18"/>
      <c r="O660" s="38"/>
    </row>
    <row r="661" spans="1:15">
      <c r="A661" s="18"/>
      <c r="B661" s="18"/>
      <c r="C661" s="18"/>
      <c r="D661" s="18"/>
      <c r="E661" s="14"/>
      <c r="F661" s="18"/>
      <c r="G661" s="13"/>
      <c r="H661" s="14"/>
      <c r="I661" s="14"/>
      <c r="J661" s="18"/>
      <c r="K661" s="14"/>
      <c r="L661" s="18"/>
      <c r="M661" s="159"/>
      <c r="N661" s="18"/>
      <c r="O661" s="38"/>
    </row>
    <row r="662" spans="1:15">
      <c r="A662" s="18"/>
      <c r="B662" s="18"/>
      <c r="C662" s="18"/>
      <c r="D662" s="18"/>
      <c r="E662" s="14"/>
      <c r="F662" s="18"/>
      <c r="G662" s="13"/>
      <c r="H662" s="14"/>
      <c r="I662" s="14"/>
      <c r="J662" s="18"/>
      <c r="K662" s="14"/>
      <c r="L662" s="18"/>
      <c r="M662" s="159"/>
      <c r="N662" s="18"/>
      <c r="O662" s="38"/>
    </row>
    <row r="663" spans="1:15">
      <c r="A663" s="18"/>
      <c r="B663" s="18"/>
      <c r="C663" s="18"/>
      <c r="D663" s="18"/>
      <c r="E663" s="14"/>
      <c r="F663" s="18"/>
      <c r="G663" s="13"/>
      <c r="H663" s="14"/>
      <c r="I663" s="14"/>
      <c r="J663" s="18"/>
      <c r="K663" s="14"/>
      <c r="L663" s="18"/>
      <c r="M663" s="159"/>
      <c r="N663" s="18"/>
      <c r="O663" s="38"/>
    </row>
    <row r="664" spans="1:15">
      <c r="A664" s="18"/>
      <c r="B664" s="18"/>
      <c r="C664" s="18"/>
      <c r="D664" s="18"/>
      <c r="E664" s="14"/>
      <c r="F664" s="18"/>
      <c r="G664" s="13"/>
      <c r="H664" s="14"/>
      <c r="I664" s="14"/>
      <c r="J664" s="18"/>
      <c r="K664" s="14"/>
      <c r="L664" s="18"/>
      <c r="M664" s="159"/>
      <c r="N664" s="18"/>
      <c r="O664" s="38"/>
    </row>
    <row r="665" spans="1:15">
      <c r="A665" s="18"/>
      <c r="B665" s="18"/>
      <c r="C665" s="18"/>
      <c r="D665" s="18"/>
      <c r="E665" s="14"/>
      <c r="F665" s="18"/>
      <c r="G665" s="13"/>
      <c r="H665" s="14"/>
      <c r="I665" s="14"/>
      <c r="J665" s="18"/>
      <c r="K665" s="14"/>
      <c r="L665" s="18"/>
      <c r="M665" s="159"/>
      <c r="N665" s="18"/>
      <c r="O665" s="38"/>
    </row>
    <row r="666" spans="1:15">
      <c r="A666" s="18"/>
      <c r="B666" s="18"/>
      <c r="C666" s="18"/>
      <c r="D666" s="18"/>
      <c r="E666" s="14"/>
      <c r="F666" s="18"/>
      <c r="G666" s="13"/>
      <c r="H666" s="14"/>
      <c r="I666" s="14"/>
      <c r="J666" s="18"/>
      <c r="K666" s="14"/>
      <c r="L666" s="18"/>
      <c r="M666" s="159"/>
      <c r="N666" s="18"/>
      <c r="O666" s="38"/>
    </row>
    <row r="667" spans="1:15">
      <c r="A667" s="18"/>
      <c r="B667" s="18"/>
      <c r="C667" s="18"/>
      <c r="D667" s="18"/>
      <c r="E667" s="14"/>
      <c r="F667" s="18"/>
      <c r="G667" s="13"/>
      <c r="H667" s="14"/>
      <c r="I667" s="14"/>
      <c r="J667" s="18"/>
      <c r="K667" s="14"/>
      <c r="L667" s="18"/>
      <c r="M667" s="159"/>
      <c r="N667" s="18"/>
      <c r="O667" s="38"/>
    </row>
    <row r="668" spans="1:15">
      <c r="A668" s="18"/>
      <c r="B668" s="18"/>
      <c r="C668" s="18"/>
      <c r="D668" s="18"/>
      <c r="E668" s="14"/>
      <c r="F668" s="18"/>
      <c r="G668" s="13"/>
      <c r="H668" s="14"/>
      <c r="I668" s="14"/>
      <c r="J668" s="18"/>
      <c r="K668" s="14"/>
      <c r="L668" s="18"/>
      <c r="M668" s="159"/>
      <c r="N668" s="18"/>
      <c r="O668" s="38"/>
    </row>
    <row r="669" spans="1:15">
      <c r="A669" s="18"/>
      <c r="B669" s="18"/>
      <c r="C669" s="18"/>
      <c r="D669" s="18"/>
      <c r="E669" s="14"/>
      <c r="F669" s="18"/>
      <c r="G669" s="13"/>
      <c r="H669" s="14"/>
      <c r="I669" s="14"/>
      <c r="J669" s="18"/>
      <c r="K669" s="14"/>
      <c r="L669" s="18"/>
      <c r="M669" s="159"/>
      <c r="N669" s="18"/>
      <c r="O669" s="38"/>
    </row>
    <row r="670" spans="1:15">
      <c r="A670" s="18"/>
      <c r="B670" s="18"/>
      <c r="C670" s="18"/>
      <c r="D670" s="18"/>
      <c r="E670" s="14"/>
      <c r="F670" s="18"/>
      <c r="G670" s="13"/>
      <c r="H670" s="14"/>
      <c r="I670" s="14"/>
      <c r="J670" s="18"/>
      <c r="K670" s="14"/>
      <c r="L670" s="18"/>
      <c r="M670" s="159"/>
      <c r="N670" s="18"/>
      <c r="O670" s="38"/>
    </row>
    <row r="671" spans="1:15">
      <c r="A671" s="18"/>
      <c r="B671" s="18"/>
      <c r="C671" s="18"/>
      <c r="D671" s="18"/>
      <c r="E671" s="14"/>
      <c r="F671" s="18"/>
      <c r="G671" s="13"/>
      <c r="H671" s="14"/>
      <c r="I671" s="14"/>
      <c r="J671" s="18"/>
      <c r="K671" s="14"/>
      <c r="L671" s="18"/>
      <c r="M671" s="159"/>
      <c r="N671" s="18"/>
      <c r="O671" s="38"/>
    </row>
    <row r="672" spans="1:15">
      <c r="A672" s="18"/>
      <c r="B672" s="18"/>
      <c r="C672" s="18"/>
      <c r="D672" s="18"/>
      <c r="E672" s="14"/>
      <c r="F672" s="18"/>
      <c r="G672" s="13"/>
      <c r="H672" s="14"/>
      <c r="I672" s="14"/>
      <c r="J672" s="18"/>
      <c r="K672" s="14"/>
      <c r="L672" s="18"/>
      <c r="M672" s="159"/>
      <c r="N672" s="18"/>
      <c r="O672" s="38"/>
    </row>
    <row r="673" spans="1:15">
      <c r="A673" s="18"/>
      <c r="B673" s="18"/>
      <c r="C673" s="18"/>
      <c r="D673" s="18"/>
      <c r="E673" s="14"/>
      <c r="F673" s="18"/>
      <c r="G673" s="13"/>
      <c r="H673" s="14"/>
      <c r="I673" s="14"/>
      <c r="J673" s="18"/>
      <c r="K673" s="14"/>
      <c r="L673" s="18"/>
      <c r="M673" s="159"/>
      <c r="N673" s="18"/>
      <c r="O673" s="38"/>
    </row>
    <row r="674" spans="1:15">
      <c r="A674" s="18"/>
      <c r="B674" s="18"/>
      <c r="C674" s="18"/>
      <c r="D674" s="18"/>
      <c r="E674" s="14"/>
      <c r="F674" s="18"/>
      <c r="G674" s="13"/>
      <c r="H674" s="14"/>
      <c r="I674" s="14"/>
      <c r="J674" s="18"/>
      <c r="K674" s="14"/>
      <c r="L674" s="18"/>
      <c r="M674" s="159"/>
      <c r="N674" s="18"/>
      <c r="O674" s="38"/>
    </row>
    <row r="675" spans="1:15">
      <c r="A675" s="18"/>
      <c r="B675" s="18"/>
      <c r="C675" s="18"/>
      <c r="D675" s="18"/>
      <c r="E675" s="14"/>
      <c r="F675" s="18"/>
      <c r="G675" s="13"/>
      <c r="H675" s="14"/>
      <c r="I675" s="14"/>
      <c r="J675" s="18"/>
      <c r="K675" s="14"/>
      <c r="L675" s="18"/>
      <c r="M675" s="159"/>
      <c r="N675" s="18"/>
      <c r="O675" s="38"/>
    </row>
    <row r="676" spans="1:15">
      <c r="A676" s="18"/>
      <c r="B676" s="18"/>
      <c r="C676" s="18"/>
      <c r="D676" s="18"/>
      <c r="E676" s="14"/>
      <c r="F676" s="18"/>
      <c r="G676" s="13"/>
      <c r="H676" s="14"/>
      <c r="I676" s="14"/>
      <c r="J676" s="18"/>
      <c r="K676" s="14"/>
      <c r="L676" s="18"/>
      <c r="M676" s="159"/>
      <c r="N676" s="18"/>
      <c r="O676" s="38"/>
    </row>
    <row r="677" spans="1:15">
      <c r="A677" s="18"/>
      <c r="B677" s="18"/>
      <c r="C677" s="18"/>
      <c r="D677" s="18"/>
      <c r="E677" s="14"/>
      <c r="F677" s="18"/>
      <c r="G677" s="13"/>
      <c r="H677" s="14"/>
      <c r="I677" s="14"/>
      <c r="J677" s="18"/>
      <c r="K677" s="14"/>
      <c r="L677" s="18"/>
      <c r="M677" s="159"/>
      <c r="N677" s="18"/>
      <c r="O677" s="38"/>
    </row>
    <row r="678" spans="1:15">
      <c r="A678" s="18"/>
      <c r="B678" s="18"/>
      <c r="C678" s="18"/>
      <c r="D678" s="18"/>
      <c r="E678" s="14"/>
      <c r="F678" s="18"/>
      <c r="G678" s="13"/>
      <c r="H678" s="14"/>
      <c r="I678" s="14"/>
      <c r="J678" s="18"/>
      <c r="K678" s="14"/>
      <c r="L678" s="18"/>
      <c r="M678" s="159"/>
      <c r="N678" s="18"/>
      <c r="O678" s="38"/>
    </row>
    <row r="679" spans="1:15">
      <c r="A679" s="18"/>
      <c r="B679" s="18"/>
      <c r="C679" s="18"/>
      <c r="D679" s="18"/>
      <c r="E679" s="14"/>
      <c r="F679" s="18"/>
      <c r="G679" s="13"/>
      <c r="H679" s="14"/>
      <c r="I679" s="14"/>
      <c r="J679" s="18"/>
      <c r="K679" s="14"/>
      <c r="L679" s="18"/>
      <c r="M679" s="159"/>
      <c r="N679" s="18"/>
      <c r="O679" s="38"/>
    </row>
    <row r="680" spans="1:15">
      <c r="A680" s="18"/>
      <c r="B680" s="18"/>
      <c r="C680" s="18"/>
      <c r="D680" s="18"/>
      <c r="E680" s="14"/>
      <c r="F680" s="18"/>
      <c r="G680" s="13"/>
      <c r="H680" s="14"/>
      <c r="I680" s="14"/>
      <c r="J680" s="18"/>
      <c r="K680" s="14"/>
      <c r="L680" s="18"/>
      <c r="M680" s="159"/>
      <c r="N680" s="18"/>
      <c r="O680" s="38"/>
    </row>
    <row r="681" spans="1:15">
      <c r="A681" s="18"/>
      <c r="B681" s="18"/>
      <c r="C681" s="18"/>
      <c r="D681" s="18"/>
      <c r="E681" s="14"/>
      <c r="F681" s="18"/>
      <c r="G681" s="13"/>
      <c r="H681" s="14"/>
      <c r="I681" s="14"/>
      <c r="J681" s="18"/>
      <c r="K681" s="14"/>
      <c r="L681" s="18"/>
      <c r="M681" s="159"/>
      <c r="N681" s="18"/>
      <c r="O681" s="38"/>
    </row>
    <row r="682" spans="1:15">
      <c r="A682" s="18"/>
      <c r="B682" s="18"/>
      <c r="C682" s="18"/>
      <c r="D682" s="18"/>
      <c r="E682" s="14"/>
      <c r="F682" s="18"/>
      <c r="G682" s="13"/>
      <c r="H682" s="14"/>
      <c r="I682" s="14"/>
      <c r="J682" s="18"/>
      <c r="K682" s="14"/>
      <c r="L682" s="18"/>
      <c r="M682" s="159"/>
      <c r="N682" s="18"/>
      <c r="O682" s="38"/>
    </row>
    <row r="683" spans="1:15">
      <c r="A683" s="18"/>
      <c r="B683" s="18"/>
      <c r="C683" s="18"/>
      <c r="D683" s="18"/>
      <c r="E683" s="14"/>
      <c r="F683" s="18"/>
      <c r="G683" s="13"/>
      <c r="H683" s="14"/>
      <c r="I683" s="14"/>
      <c r="J683" s="18"/>
      <c r="K683" s="14"/>
      <c r="L683" s="18"/>
      <c r="M683" s="159"/>
      <c r="N683" s="18"/>
      <c r="O683" s="38"/>
    </row>
    <row r="684" spans="1:15">
      <c r="A684" s="18"/>
      <c r="B684" s="18"/>
      <c r="C684" s="18"/>
      <c r="D684" s="18"/>
      <c r="E684" s="14"/>
      <c r="F684" s="18"/>
      <c r="G684" s="13"/>
      <c r="H684" s="14"/>
      <c r="I684" s="14"/>
      <c r="J684" s="18"/>
      <c r="K684" s="14"/>
      <c r="L684" s="18"/>
      <c r="M684" s="159"/>
      <c r="N684" s="18"/>
      <c r="O684" s="38"/>
    </row>
    <row r="685" spans="1:15">
      <c r="A685" s="18"/>
      <c r="B685" s="18"/>
      <c r="C685" s="18"/>
      <c r="D685" s="18"/>
      <c r="E685" s="14"/>
      <c r="F685" s="18"/>
      <c r="G685" s="13"/>
      <c r="H685" s="14"/>
      <c r="I685" s="14"/>
      <c r="J685" s="18"/>
      <c r="K685" s="14"/>
      <c r="L685" s="18"/>
      <c r="M685" s="159"/>
      <c r="N685" s="18"/>
      <c r="O685" s="38"/>
    </row>
    <row r="686" spans="1:15">
      <c r="A686" s="18"/>
      <c r="B686" s="18"/>
      <c r="C686" s="18"/>
      <c r="D686" s="18"/>
      <c r="E686" s="14"/>
      <c r="F686" s="18"/>
      <c r="G686" s="13"/>
      <c r="H686" s="14"/>
      <c r="I686" s="14"/>
      <c r="J686" s="18"/>
      <c r="K686" s="14"/>
      <c r="L686" s="18"/>
      <c r="M686" s="159"/>
      <c r="N686" s="18"/>
      <c r="O686" s="38"/>
    </row>
    <row r="687" spans="1:15">
      <c r="A687" s="18"/>
      <c r="B687" s="18"/>
      <c r="C687" s="18"/>
      <c r="D687" s="18"/>
      <c r="E687" s="14"/>
      <c r="F687" s="18"/>
      <c r="G687" s="13"/>
      <c r="H687" s="14"/>
      <c r="I687" s="14"/>
      <c r="J687" s="18"/>
      <c r="K687" s="14"/>
      <c r="L687" s="18"/>
      <c r="M687" s="159"/>
      <c r="N687" s="18"/>
      <c r="O687" s="38"/>
    </row>
    <row r="688" spans="1:15">
      <c r="A688" s="18"/>
      <c r="B688" s="18"/>
      <c r="C688" s="18"/>
      <c r="D688" s="18"/>
      <c r="E688" s="14"/>
      <c r="F688" s="18"/>
      <c r="G688" s="13"/>
      <c r="H688" s="14"/>
      <c r="I688" s="14"/>
      <c r="J688" s="18"/>
      <c r="K688" s="14"/>
      <c r="L688" s="18"/>
      <c r="M688" s="159"/>
      <c r="N688" s="18"/>
      <c r="O688" s="38"/>
    </row>
    <row r="689" spans="1:15">
      <c r="A689" s="18"/>
      <c r="B689" s="18"/>
      <c r="C689" s="18"/>
      <c r="D689" s="18"/>
      <c r="E689" s="14"/>
      <c r="F689" s="18"/>
      <c r="G689" s="13"/>
      <c r="H689" s="14"/>
      <c r="I689" s="14"/>
      <c r="J689" s="18"/>
      <c r="K689" s="14"/>
      <c r="L689" s="18"/>
      <c r="M689" s="159"/>
      <c r="N689" s="18"/>
      <c r="O689" s="38"/>
    </row>
    <row r="690" spans="1:15">
      <c r="A690" s="18"/>
      <c r="B690" s="18"/>
      <c r="C690" s="18"/>
      <c r="D690" s="18"/>
      <c r="E690" s="14"/>
      <c r="F690" s="18"/>
      <c r="G690" s="13"/>
      <c r="H690" s="14"/>
      <c r="I690" s="14"/>
      <c r="J690" s="18"/>
      <c r="K690" s="14"/>
      <c r="L690" s="18"/>
      <c r="M690" s="159"/>
      <c r="N690" s="18"/>
      <c r="O690" s="38"/>
    </row>
    <row r="691" spans="1:15">
      <c r="A691" s="18"/>
      <c r="B691" s="18"/>
      <c r="C691" s="18"/>
      <c r="D691" s="18"/>
      <c r="E691" s="14"/>
      <c r="F691" s="18"/>
      <c r="G691" s="13"/>
      <c r="H691" s="14"/>
      <c r="I691" s="14"/>
      <c r="J691" s="18"/>
      <c r="K691" s="14"/>
      <c r="L691" s="18"/>
      <c r="M691" s="159"/>
      <c r="N691" s="18"/>
      <c r="O691" s="38"/>
    </row>
    <row r="692" spans="1:15">
      <c r="A692" s="18"/>
      <c r="B692" s="18"/>
      <c r="C692" s="18"/>
      <c r="D692" s="18"/>
      <c r="E692" s="14"/>
      <c r="F692" s="18"/>
      <c r="G692" s="13"/>
      <c r="H692" s="14"/>
      <c r="I692" s="14"/>
      <c r="J692" s="18"/>
      <c r="K692" s="14"/>
      <c r="L692" s="18"/>
      <c r="M692" s="159"/>
      <c r="N692" s="18"/>
      <c r="O692" s="38"/>
    </row>
    <row r="693" spans="1:15">
      <c r="A693" s="18"/>
      <c r="B693" s="18"/>
      <c r="C693" s="18"/>
      <c r="D693" s="18"/>
      <c r="E693" s="14"/>
      <c r="F693" s="18"/>
      <c r="G693" s="13"/>
      <c r="H693" s="14"/>
      <c r="I693" s="14"/>
      <c r="J693" s="18"/>
      <c r="K693" s="14"/>
      <c r="L693" s="18"/>
      <c r="M693" s="159"/>
      <c r="N693" s="18"/>
      <c r="O693" s="38"/>
    </row>
    <row r="694" spans="1:15">
      <c r="A694" s="18"/>
      <c r="B694" s="18"/>
      <c r="C694" s="18"/>
      <c r="D694" s="18"/>
      <c r="E694" s="14"/>
      <c r="F694" s="18"/>
      <c r="G694" s="13"/>
      <c r="H694" s="14"/>
      <c r="I694" s="14"/>
      <c r="J694" s="18"/>
      <c r="K694" s="14"/>
      <c r="L694" s="18"/>
      <c r="M694" s="159"/>
      <c r="N694" s="18"/>
      <c r="O694" s="38"/>
    </row>
    <row r="695" spans="1:15">
      <c r="A695" s="18"/>
      <c r="B695" s="18"/>
      <c r="C695" s="18"/>
      <c r="D695" s="18"/>
      <c r="E695" s="14"/>
      <c r="F695" s="18"/>
      <c r="G695" s="13"/>
      <c r="H695" s="14"/>
      <c r="I695" s="14"/>
      <c r="J695" s="18"/>
      <c r="K695" s="14"/>
      <c r="L695" s="18"/>
      <c r="M695" s="159"/>
      <c r="N695" s="18"/>
      <c r="O695" s="38"/>
    </row>
    <row r="696" spans="1:15">
      <c r="A696" s="18"/>
      <c r="B696" s="18"/>
      <c r="C696" s="18"/>
      <c r="D696" s="18"/>
      <c r="E696" s="14"/>
      <c r="F696" s="18"/>
      <c r="G696" s="13"/>
      <c r="H696" s="14"/>
      <c r="I696" s="14"/>
      <c r="J696" s="18"/>
      <c r="K696" s="14"/>
      <c r="L696" s="18"/>
      <c r="M696" s="159"/>
      <c r="N696" s="18"/>
      <c r="O696" s="38"/>
    </row>
    <row r="697" spans="1:15">
      <c r="A697" s="18"/>
      <c r="B697" s="18"/>
      <c r="C697" s="18"/>
      <c r="D697" s="18"/>
      <c r="E697" s="14"/>
      <c r="F697" s="18"/>
      <c r="G697" s="13"/>
      <c r="H697" s="14"/>
      <c r="I697" s="14"/>
      <c r="J697" s="18"/>
      <c r="K697" s="14"/>
      <c r="L697" s="18"/>
      <c r="M697" s="159"/>
      <c r="N697" s="18"/>
      <c r="O697" s="38"/>
    </row>
    <row r="698" spans="1:15">
      <c r="A698" s="18"/>
      <c r="B698" s="18"/>
      <c r="C698" s="18"/>
      <c r="D698" s="18"/>
      <c r="E698" s="14"/>
      <c r="F698" s="18"/>
      <c r="G698" s="13"/>
      <c r="H698" s="14"/>
      <c r="I698" s="14"/>
      <c r="J698" s="18"/>
      <c r="K698" s="14"/>
      <c r="L698" s="18"/>
      <c r="M698" s="159"/>
      <c r="N698" s="18"/>
      <c r="O698" s="38"/>
    </row>
    <row r="699" spans="1:15">
      <c r="A699" s="18"/>
      <c r="B699" s="18"/>
      <c r="C699" s="18"/>
      <c r="D699" s="18"/>
      <c r="E699" s="14"/>
      <c r="F699" s="18"/>
      <c r="G699" s="13"/>
      <c r="H699" s="14"/>
      <c r="I699" s="14"/>
      <c r="J699" s="18"/>
      <c r="K699" s="14"/>
      <c r="L699" s="18"/>
      <c r="M699" s="159"/>
      <c r="N699" s="18"/>
      <c r="O699" s="38"/>
    </row>
    <row r="700" spans="1:15">
      <c r="A700" s="18"/>
      <c r="B700" s="18"/>
      <c r="C700" s="18"/>
      <c r="D700" s="18"/>
      <c r="E700" s="14"/>
      <c r="F700" s="18"/>
      <c r="G700" s="13"/>
      <c r="H700" s="14"/>
      <c r="I700" s="14"/>
      <c r="J700" s="18"/>
      <c r="K700" s="14"/>
      <c r="L700" s="18"/>
      <c r="M700" s="159"/>
      <c r="N700" s="18"/>
      <c r="O700" s="38"/>
    </row>
    <row r="701" spans="1:15">
      <c r="A701" s="18"/>
      <c r="B701" s="18"/>
      <c r="C701" s="18"/>
      <c r="D701" s="18"/>
      <c r="E701" s="14"/>
      <c r="F701" s="18"/>
      <c r="G701" s="13"/>
      <c r="H701" s="14"/>
      <c r="I701" s="14"/>
      <c r="J701" s="18"/>
      <c r="K701" s="14"/>
      <c r="L701" s="18"/>
      <c r="M701" s="159"/>
      <c r="N701" s="18"/>
      <c r="O701" s="38"/>
    </row>
    <row r="702" spans="1:15">
      <c r="A702" s="18"/>
      <c r="B702" s="18"/>
      <c r="C702" s="18"/>
      <c r="D702" s="18"/>
      <c r="E702" s="14"/>
      <c r="F702" s="18"/>
      <c r="G702" s="13"/>
      <c r="H702" s="14"/>
      <c r="I702" s="14"/>
      <c r="J702" s="18"/>
      <c r="K702" s="14"/>
      <c r="L702" s="18"/>
      <c r="M702" s="159"/>
      <c r="N702" s="18"/>
      <c r="O702" s="38"/>
    </row>
    <row r="703" spans="1:15">
      <c r="A703" s="18"/>
      <c r="B703" s="18"/>
      <c r="C703" s="18"/>
      <c r="D703" s="18"/>
      <c r="E703" s="14"/>
      <c r="F703" s="18"/>
      <c r="G703" s="13"/>
      <c r="H703" s="14"/>
      <c r="I703" s="14"/>
      <c r="J703" s="18"/>
      <c r="K703" s="14"/>
      <c r="L703" s="18"/>
      <c r="M703" s="159"/>
      <c r="N703" s="18"/>
      <c r="O703" s="38"/>
    </row>
    <row r="704" spans="1:15">
      <c r="A704" s="18"/>
      <c r="B704" s="18"/>
      <c r="C704" s="18"/>
      <c r="D704" s="18"/>
      <c r="E704" s="14"/>
      <c r="F704" s="18"/>
      <c r="G704" s="13"/>
      <c r="H704" s="14"/>
      <c r="I704" s="14"/>
      <c r="J704" s="18"/>
      <c r="K704" s="14"/>
      <c r="L704" s="18"/>
      <c r="M704" s="159"/>
      <c r="N704" s="18"/>
      <c r="O704" s="38"/>
    </row>
    <row r="705" spans="1:15">
      <c r="A705" s="18"/>
      <c r="B705" s="18"/>
      <c r="C705" s="18"/>
      <c r="D705" s="18"/>
      <c r="E705" s="14"/>
      <c r="F705" s="18"/>
      <c r="G705" s="13"/>
      <c r="H705" s="14"/>
      <c r="I705" s="14"/>
      <c r="J705" s="18"/>
      <c r="K705" s="14"/>
      <c r="L705" s="18"/>
      <c r="M705" s="159"/>
      <c r="N705" s="18"/>
      <c r="O705" s="38"/>
    </row>
    <row r="706" spans="1:15">
      <c r="A706" s="18"/>
      <c r="B706" s="18"/>
      <c r="C706" s="18"/>
      <c r="D706" s="18"/>
      <c r="E706" s="14"/>
      <c r="F706" s="18"/>
      <c r="G706" s="13"/>
      <c r="H706" s="14"/>
      <c r="I706" s="14"/>
      <c r="J706" s="18"/>
      <c r="K706" s="14"/>
      <c r="L706" s="18"/>
      <c r="M706" s="159"/>
      <c r="N706" s="18"/>
      <c r="O706" s="38"/>
    </row>
    <row r="707" spans="1:15">
      <c r="A707" s="18"/>
      <c r="B707" s="18"/>
      <c r="C707" s="18"/>
      <c r="D707" s="18"/>
      <c r="E707" s="14"/>
      <c r="F707" s="18"/>
      <c r="G707" s="13"/>
      <c r="H707" s="14"/>
      <c r="I707" s="14"/>
      <c r="J707" s="18"/>
      <c r="K707" s="14"/>
      <c r="L707" s="18"/>
      <c r="M707" s="159"/>
      <c r="N707" s="18"/>
      <c r="O707" s="38"/>
    </row>
    <row r="708" spans="1:15">
      <c r="A708" s="18"/>
      <c r="B708" s="18"/>
      <c r="C708" s="18"/>
      <c r="D708" s="18"/>
      <c r="E708" s="14"/>
      <c r="F708" s="18"/>
      <c r="G708" s="13"/>
      <c r="H708" s="14"/>
      <c r="I708" s="14"/>
      <c r="J708" s="18"/>
      <c r="K708" s="14"/>
      <c r="L708" s="18"/>
      <c r="M708" s="159"/>
      <c r="N708" s="18"/>
      <c r="O708" s="38"/>
    </row>
    <row r="709" spans="1:15">
      <c r="A709" s="18"/>
      <c r="B709" s="18"/>
      <c r="C709" s="18"/>
      <c r="D709" s="18"/>
      <c r="E709" s="14"/>
      <c r="F709" s="18"/>
      <c r="G709" s="13"/>
      <c r="H709" s="14"/>
      <c r="I709" s="14"/>
      <c r="J709" s="18"/>
      <c r="K709" s="14"/>
      <c r="L709" s="18"/>
      <c r="M709" s="159"/>
      <c r="N709" s="18"/>
      <c r="O709" s="38"/>
    </row>
    <row r="710" spans="1:15">
      <c r="A710" s="18"/>
      <c r="B710" s="18"/>
      <c r="C710" s="18"/>
      <c r="D710" s="18"/>
      <c r="E710" s="14"/>
      <c r="F710" s="18"/>
      <c r="G710" s="13"/>
      <c r="H710" s="14"/>
      <c r="I710" s="14"/>
      <c r="J710" s="18"/>
      <c r="K710" s="14"/>
      <c r="L710" s="18"/>
      <c r="M710" s="159"/>
      <c r="N710" s="18"/>
      <c r="O710" s="38"/>
    </row>
    <row r="711" spans="1:15">
      <c r="A711" s="18"/>
      <c r="B711" s="18"/>
      <c r="C711" s="18"/>
      <c r="D711" s="18"/>
      <c r="E711" s="14"/>
      <c r="F711" s="18"/>
      <c r="G711" s="13"/>
      <c r="H711" s="14"/>
      <c r="I711" s="14"/>
      <c r="J711" s="18"/>
      <c r="K711" s="14"/>
      <c r="L711" s="18"/>
      <c r="M711" s="159"/>
      <c r="N711" s="18"/>
      <c r="O711" s="38"/>
    </row>
    <row r="712" spans="1:15">
      <c r="A712" s="18"/>
      <c r="B712" s="18"/>
      <c r="C712" s="18"/>
      <c r="D712" s="18"/>
      <c r="E712" s="14"/>
      <c r="F712" s="18"/>
      <c r="G712" s="13"/>
      <c r="H712" s="14"/>
      <c r="I712" s="14"/>
      <c r="J712" s="18"/>
      <c r="K712" s="14"/>
      <c r="L712" s="18"/>
      <c r="M712" s="159"/>
      <c r="N712" s="18"/>
      <c r="O712" s="38"/>
    </row>
    <row r="713" spans="1:15">
      <c r="A713" s="18"/>
      <c r="B713" s="18"/>
      <c r="C713" s="18"/>
      <c r="D713" s="18"/>
      <c r="E713" s="14"/>
      <c r="F713" s="18"/>
      <c r="G713" s="13"/>
      <c r="H713" s="14"/>
      <c r="I713" s="14"/>
      <c r="J713" s="18"/>
      <c r="K713" s="14"/>
      <c r="L713" s="18"/>
      <c r="M713" s="159"/>
      <c r="N713" s="18"/>
      <c r="O713" s="38"/>
    </row>
    <row r="714" spans="1:15">
      <c r="A714" s="18"/>
      <c r="B714" s="18"/>
      <c r="C714" s="18"/>
      <c r="D714" s="18"/>
      <c r="E714" s="14"/>
      <c r="F714" s="18"/>
      <c r="G714" s="13"/>
      <c r="H714" s="14"/>
      <c r="I714" s="14"/>
      <c r="J714" s="18"/>
      <c r="K714" s="14"/>
      <c r="L714" s="18"/>
      <c r="M714" s="159"/>
      <c r="N714" s="18"/>
      <c r="O714" s="38"/>
    </row>
    <row r="715" spans="1:15">
      <c r="A715" s="18"/>
      <c r="B715" s="18"/>
      <c r="C715" s="18"/>
      <c r="D715" s="18"/>
      <c r="E715" s="14"/>
      <c r="F715" s="18"/>
      <c r="G715" s="13"/>
      <c r="H715" s="14"/>
      <c r="I715" s="14"/>
      <c r="J715" s="18"/>
      <c r="K715" s="14"/>
      <c r="L715" s="18"/>
      <c r="M715" s="159"/>
      <c r="N715" s="18"/>
      <c r="O715" s="38"/>
    </row>
    <row r="716" spans="1:15">
      <c r="A716" s="18"/>
      <c r="B716" s="18"/>
      <c r="C716" s="18"/>
      <c r="D716" s="18"/>
      <c r="E716" s="14"/>
      <c r="F716" s="18"/>
      <c r="G716" s="13"/>
      <c r="H716" s="14"/>
      <c r="I716" s="14"/>
      <c r="J716" s="18"/>
      <c r="K716" s="14"/>
      <c r="L716" s="18"/>
      <c r="M716" s="159"/>
      <c r="N716" s="18"/>
      <c r="O716" s="38"/>
    </row>
    <row r="717" spans="1:15">
      <c r="A717" s="18"/>
      <c r="B717" s="18"/>
      <c r="C717" s="18"/>
      <c r="D717" s="18"/>
      <c r="E717" s="14"/>
      <c r="F717" s="18"/>
      <c r="G717" s="13"/>
      <c r="H717" s="14"/>
      <c r="I717" s="14"/>
      <c r="J717" s="18"/>
      <c r="K717" s="14"/>
      <c r="L717" s="18"/>
      <c r="M717" s="159"/>
      <c r="N717" s="18"/>
      <c r="O717" s="38"/>
    </row>
    <row r="718" spans="1:15">
      <c r="A718" s="18"/>
      <c r="B718" s="18"/>
      <c r="C718" s="18"/>
      <c r="D718" s="18"/>
      <c r="E718" s="14"/>
      <c r="F718" s="18"/>
      <c r="G718" s="13"/>
      <c r="H718" s="14"/>
      <c r="I718" s="14"/>
      <c r="J718" s="18"/>
      <c r="K718" s="14"/>
      <c r="L718" s="18"/>
      <c r="M718" s="159"/>
      <c r="N718" s="18"/>
      <c r="O718" s="38"/>
    </row>
    <row r="719" spans="1:15">
      <c r="A719" s="18"/>
      <c r="B719" s="18"/>
      <c r="C719" s="18"/>
      <c r="D719" s="18"/>
      <c r="E719" s="14"/>
      <c r="F719" s="18"/>
      <c r="G719" s="13"/>
      <c r="H719" s="14"/>
      <c r="I719" s="14"/>
      <c r="J719" s="18"/>
      <c r="K719" s="14"/>
      <c r="L719" s="18"/>
      <c r="M719" s="159"/>
      <c r="N719" s="18"/>
      <c r="O719" s="38"/>
    </row>
    <row r="720" spans="1:15">
      <c r="A720" s="18"/>
      <c r="B720" s="18"/>
      <c r="C720" s="18"/>
      <c r="D720" s="18"/>
      <c r="E720" s="14"/>
      <c r="F720" s="18"/>
      <c r="G720" s="13"/>
      <c r="H720" s="14"/>
      <c r="I720" s="14"/>
      <c r="J720" s="18"/>
      <c r="K720" s="14"/>
      <c r="L720" s="18"/>
      <c r="M720" s="159"/>
      <c r="N720" s="18"/>
      <c r="O720" s="38"/>
    </row>
    <row r="721" spans="1:15">
      <c r="A721" s="18"/>
      <c r="B721" s="18"/>
      <c r="C721" s="18"/>
      <c r="D721" s="18"/>
      <c r="E721" s="14"/>
      <c r="F721" s="18"/>
      <c r="G721" s="13"/>
      <c r="H721" s="14"/>
      <c r="I721" s="14"/>
      <c r="J721" s="18"/>
      <c r="K721" s="14"/>
      <c r="L721" s="18"/>
      <c r="M721" s="159"/>
      <c r="N721" s="18"/>
      <c r="O721" s="38"/>
    </row>
    <row r="722" spans="1:15">
      <c r="A722" s="18"/>
      <c r="B722" s="18"/>
      <c r="C722" s="18"/>
      <c r="D722" s="18"/>
      <c r="E722" s="14"/>
      <c r="F722" s="18"/>
      <c r="G722" s="13"/>
      <c r="H722" s="14"/>
      <c r="I722" s="14"/>
      <c r="J722" s="18"/>
      <c r="K722" s="14"/>
      <c r="L722" s="18"/>
      <c r="M722" s="159"/>
      <c r="N722" s="18"/>
      <c r="O722" s="38"/>
    </row>
    <row r="723" spans="1:15">
      <c r="A723" s="18"/>
      <c r="B723" s="18"/>
      <c r="C723" s="18"/>
      <c r="D723" s="18"/>
      <c r="E723" s="14"/>
      <c r="F723" s="18"/>
      <c r="G723" s="13"/>
      <c r="H723" s="14"/>
      <c r="I723" s="14"/>
      <c r="J723" s="18"/>
      <c r="K723" s="14"/>
      <c r="L723" s="18"/>
      <c r="M723" s="159"/>
      <c r="N723" s="18"/>
      <c r="O723" s="38"/>
    </row>
    <row r="724" spans="1:15">
      <c r="A724" s="18"/>
      <c r="B724" s="18"/>
      <c r="C724" s="18"/>
      <c r="D724" s="18"/>
      <c r="E724" s="14"/>
      <c r="F724" s="18"/>
      <c r="G724" s="13"/>
      <c r="H724" s="14"/>
      <c r="I724" s="14"/>
      <c r="J724" s="18"/>
      <c r="K724" s="14"/>
      <c r="L724" s="18"/>
      <c r="M724" s="159"/>
      <c r="N724" s="18"/>
      <c r="O724" s="38"/>
    </row>
    <row r="725" spans="1:15">
      <c r="A725" s="18"/>
      <c r="B725" s="18"/>
      <c r="C725" s="18"/>
      <c r="D725" s="18"/>
      <c r="E725" s="14"/>
      <c r="F725" s="18"/>
      <c r="G725" s="13"/>
      <c r="H725" s="14"/>
      <c r="I725" s="14"/>
      <c r="J725" s="18"/>
      <c r="K725" s="14"/>
      <c r="L725" s="18"/>
      <c r="M725" s="159"/>
      <c r="N725" s="18"/>
      <c r="O725" s="38"/>
    </row>
    <row r="726" spans="1:15">
      <c r="A726" s="18"/>
      <c r="B726" s="18"/>
      <c r="C726" s="18"/>
      <c r="D726" s="18"/>
      <c r="E726" s="14"/>
      <c r="F726" s="18"/>
      <c r="G726" s="13"/>
      <c r="H726" s="14"/>
      <c r="I726" s="14"/>
      <c r="J726" s="18"/>
      <c r="K726" s="14"/>
      <c r="L726" s="18"/>
      <c r="M726" s="159"/>
      <c r="N726" s="18"/>
      <c r="O726" s="38"/>
    </row>
    <row r="727" spans="1:15">
      <c r="A727" s="18"/>
      <c r="B727" s="18"/>
      <c r="C727" s="18"/>
      <c r="D727" s="18"/>
      <c r="E727" s="14"/>
      <c r="F727" s="18"/>
      <c r="G727" s="13"/>
      <c r="H727" s="14"/>
      <c r="I727" s="14"/>
      <c r="J727" s="18"/>
      <c r="K727" s="14"/>
      <c r="L727" s="18"/>
      <c r="M727" s="159"/>
      <c r="N727" s="18"/>
      <c r="O727" s="38"/>
    </row>
    <row r="728" spans="1:15">
      <c r="A728" s="18"/>
      <c r="B728" s="18"/>
      <c r="C728" s="18"/>
      <c r="D728" s="18"/>
      <c r="E728" s="14"/>
      <c r="F728" s="18"/>
      <c r="G728" s="13"/>
      <c r="H728" s="14"/>
      <c r="I728" s="14"/>
      <c r="J728" s="18"/>
      <c r="K728" s="14"/>
      <c r="L728" s="18"/>
      <c r="M728" s="159"/>
      <c r="N728" s="18"/>
      <c r="O728" s="38"/>
    </row>
    <row r="729" spans="1:15">
      <c r="A729" s="18"/>
      <c r="B729" s="18"/>
      <c r="C729" s="18"/>
      <c r="D729" s="18"/>
      <c r="E729" s="14"/>
      <c r="F729" s="18"/>
      <c r="G729" s="13"/>
      <c r="H729" s="14"/>
      <c r="I729" s="14"/>
      <c r="J729" s="18"/>
      <c r="K729" s="14"/>
      <c r="L729" s="18"/>
      <c r="M729" s="159"/>
      <c r="N729" s="18"/>
      <c r="O729" s="38"/>
    </row>
    <row r="730" spans="1:15">
      <c r="A730" s="18"/>
      <c r="B730" s="18"/>
      <c r="C730" s="18"/>
      <c r="D730" s="18"/>
      <c r="E730" s="14"/>
      <c r="F730" s="18"/>
      <c r="G730" s="13"/>
      <c r="H730" s="14"/>
      <c r="I730" s="14"/>
      <c r="J730" s="18"/>
      <c r="K730" s="14"/>
      <c r="L730" s="18"/>
      <c r="M730" s="159"/>
      <c r="N730" s="18"/>
      <c r="O730" s="38"/>
    </row>
    <row r="731" spans="1:15">
      <c r="A731" s="18"/>
      <c r="B731" s="18"/>
      <c r="C731" s="18"/>
      <c r="D731" s="18"/>
      <c r="E731" s="14"/>
      <c r="F731" s="18"/>
      <c r="G731" s="13"/>
      <c r="H731" s="14"/>
      <c r="I731" s="14"/>
      <c r="J731" s="18"/>
      <c r="K731" s="14"/>
      <c r="L731" s="18"/>
      <c r="M731" s="159"/>
      <c r="N731" s="18"/>
      <c r="O731" s="38"/>
    </row>
    <row r="732" spans="1:15">
      <c r="A732" s="18"/>
      <c r="B732" s="18"/>
      <c r="C732" s="18"/>
      <c r="D732" s="18"/>
      <c r="E732" s="14"/>
      <c r="F732" s="18"/>
      <c r="G732" s="13"/>
      <c r="H732" s="14"/>
      <c r="I732" s="14"/>
      <c r="J732" s="18"/>
      <c r="K732" s="14"/>
      <c r="L732" s="18"/>
      <c r="M732" s="159"/>
      <c r="N732" s="18"/>
      <c r="O732" s="38"/>
    </row>
    <row r="733" spans="1:15">
      <c r="A733" s="18"/>
      <c r="B733" s="18"/>
      <c r="C733" s="18"/>
      <c r="D733" s="18"/>
      <c r="E733" s="14"/>
      <c r="F733" s="18"/>
      <c r="G733" s="13"/>
      <c r="H733" s="14"/>
      <c r="I733" s="14"/>
      <c r="J733" s="18"/>
      <c r="K733" s="14"/>
      <c r="L733" s="18"/>
      <c r="M733" s="159"/>
      <c r="N733" s="18"/>
      <c r="O733" s="38"/>
    </row>
    <row r="734" spans="1:15">
      <c r="A734" s="18"/>
      <c r="B734" s="18"/>
      <c r="C734" s="18"/>
      <c r="D734" s="18"/>
      <c r="E734" s="14"/>
      <c r="F734" s="18"/>
      <c r="G734" s="13"/>
      <c r="H734" s="14"/>
      <c r="I734" s="14"/>
      <c r="J734" s="18"/>
      <c r="K734" s="14"/>
      <c r="L734" s="18"/>
      <c r="M734" s="159"/>
      <c r="N734" s="18"/>
      <c r="O734" s="38"/>
    </row>
    <row r="735" spans="1:15">
      <c r="A735" s="18"/>
      <c r="B735" s="18"/>
      <c r="C735" s="18"/>
      <c r="D735" s="18"/>
      <c r="E735" s="14"/>
      <c r="F735" s="18"/>
      <c r="G735" s="13"/>
      <c r="H735" s="14"/>
      <c r="I735" s="14"/>
      <c r="J735" s="18"/>
      <c r="K735" s="14"/>
      <c r="L735" s="18"/>
      <c r="M735" s="159"/>
      <c r="N735" s="18"/>
      <c r="O735" s="38"/>
    </row>
    <row r="736" spans="1:15">
      <c r="A736" s="18"/>
      <c r="B736" s="18"/>
      <c r="C736" s="18"/>
      <c r="D736" s="18"/>
      <c r="E736" s="14"/>
      <c r="F736" s="18"/>
      <c r="G736" s="13"/>
      <c r="H736" s="14"/>
      <c r="I736" s="14"/>
      <c r="J736" s="18"/>
      <c r="K736" s="14"/>
      <c r="L736" s="18"/>
      <c r="M736" s="159"/>
      <c r="N736" s="18"/>
      <c r="O736" s="38"/>
    </row>
    <row r="737" spans="1:15">
      <c r="A737" s="18"/>
      <c r="B737" s="18"/>
      <c r="C737" s="18"/>
      <c r="D737" s="18"/>
      <c r="E737" s="14"/>
      <c r="F737" s="18"/>
      <c r="G737" s="13"/>
      <c r="H737" s="14"/>
      <c r="I737" s="14"/>
      <c r="J737" s="18"/>
      <c r="K737" s="14"/>
      <c r="L737" s="18"/>
      <c r="M737" s="159"/>
      <c r="N737" s="18"/>
      <c r="O737" s="38"/>
    </row>
    <row r="738" spans="1:15">
      <c r="A738" s="18"/>
      <c r="B738" s="18"/>
      <c r="C738" s="18"/>
      <c r="D738" s="18"/>
      <c r="E738" s="14"/>
      <c r="F738" s="18"/>
      <c r="G738" s="13"/>
      <c r="H738" s="14"/>
      <c r="I738" s="14"/>
      <c r="J738" s="18"/>
      <c r="K738" s="14"/>
      <c r="L738" s="18"/>
      <c r="M738" s="159"/>
      <c r="N738" s="18"/>
      <c r="O738" s="38"/>
    </row>
    <row r="739" spans="1:15">
      <c r="A739" s="18"/>
      <c r="B739" s="18"/>
      <c r="C739" s="18"/>
      <c r="D739" s="18"/>
      <c r="E739" s="14"/>
      <c r="F739" s="18"/>
      <c r="G739" s="13"/>
      <c r="H739" s="14"/>
      <c r="I739" s="14"/>
      <c r="J739" s="18"/>
      <c r="K739" s="14"/>
      <c r="L739" s="18"/>
      <c r="M739" s="159"/>
      <c r="N739" s="18"/>
      <c r="O739" s="38"/>
    </row>
    <row r="740" spans="1:15">
      <c r="A740" s="18"/>
      <c r="B740" s="18"/>
      <c r="C740" s="18"/>
      <c r="D740" s="18"/>
      <c r="E740" s="14"/>
      <c r="F740" s="18"/>
      <c r="G740" s="13"/>
      <c r="H740" s="14"/>
      <c r="I740" s="14"/>
      <c r="J740" s="18"/>
      <c r="K740" s="14"/>
      <c r="L740" s="18"/>
      <c r="M740" s="159"/>
      <c r="N740" s="18"/>
      <c r="O740" s="38"/>
    </row>
    <row r="741" spans="1:15">
      <c r="A741" s="18"/>
      <c r="B741" s="18"/>
      <c r="C741" s="18"/>
      <c r="D741" s="18"/>
      <c r="E741" s="14"/>
      <c r="F741" s="18"/>
      <c r="G741" s="13"/>
      <c r="H741" s="14"/>
      <c r="I741" s="14"/>
      <c r="J741" s="18"/>
      <c r="K741" s="14"/>
      <c r="L741" s="18"/>
      <c r="M741" s="159"/>
      <c r="N741" s="18"/>
      <c r="O741" s="38"/>
    </row>
    <row r="742" spans="1:15">
      <c r="A742" s="18"/>
      <c r="B742" s="18"/>
      <c r="C742" s="18"/>
      <c r="D742" s="18"/>
      <c r="E742" s="14"/>
      <c r="F742" s="18"/>
      <c r="G742" s="13"/>
      <c r="H742" s="14"/>
      <c r="I742" s="14"/>
      <c r="J742" s="18"/>
      <c r="K742" s="14"/>
      <c r="L742" s="18"/>
      <c r="M742" s="159"/>
      <c r="N742" s="18"/>
      <c r="O742" s="38"/>
    </row>
    <row r="743" spans="1:15">
      <c r="A743" s="18"/>
      <c r="B743" s="18"/>
      <c r="C743" s="18"/>
      <c r="D743" s="18"/>
      <c r="E743" s="14"/>
      <c r="F743" s="18"/>
      <c r="G743" s="13"/>
      <c r="H743" s="14"/>
      <c r="I743" s="14"/>
      <c r="J743" s="18"/>
      <c r="K743" s="14"/>
      <c r="L743" s="18"/>
      <c r="M743" s="159"/>
      <c r="N743" s="18"/>
      <c r="O743" s="38"/>
    </row>
    <row r="744" spans="1:15">
      <c r="A744" s="18"/>
      <c r="B744" s="18"/>
      <c r="C744" s="18"/>
      <c r="D744" s="18"/>
      <c r="E744" s="14"/>
      <c r="F744" s="18"/>
      <c r="G744" s="13"/>
      <c r="H744" s="14"/>
      <c r="I744" s="14"/>
      <c r="J744" s="18"/>
      <c r="K744" s="14"/>
      <c r="L744" s="18"/>
      <c r="M744" s="159"/>
      <c r="N744" s="18"/>
      <c r="O744" s="38"/>
    </row>
    <row r="745" spans="1:15">
      <c r="A745" s="18"/>
      <c r="B745" s="18"/>
      <c r="C745" s="18"/>
      <c r="D745" s="18"/>
      <c r="E745" s="14"/>
      <c r="F745" s="18"/>
      <c r="G745" s="13"/>
      <c r="H745" s="14"/>
      <c r="I745" s="14"/>
      <c r="J745" s="18"/>
      <c r="K745" s="14"/>
      <c r="L745" s="18"/>
      <c r="M745" s="159"/>
      <c r="N745" s="18"/>
      <c r="O745" s="38"/>
    </row>
    <row r="746" spans="1:15">
      <c r="A746" s="18"/>
      <c r="B746" s="18"/>
      <c r="C746" s="18"/>
      <c r="D746" s="18"/>
      <c r="E746" s="14"/>
      <c r="F746" s="18"/>
      <c r="G746" s="13"/>
      <c r="H746" s="14"/>
      <c r="I746" s="14"/>
      <c r="J746" s="18"/>
      <c r="K746" s="14"/>
      <c r="L746" s="18"/>
      <c r="M746" s="159"/>
      <c r="N746" s="18"/>
      <c r="O746" s="38"/>
    </row>
    <row r="747" spans="1:15">
      <c r="A747" s="18"/>
      <c r="B747" s="18"/>
      <c r="C747" s="18"/>
      <c r="D747" s="18"/>
      <c r="E747" s="14"/>
      <c r="F747" s="18"/>
      <c r="G747" s="13"/>
      <c r="H747" s="14"/>
      <c r="I747" s="14"/>
      <c r="J747" s="18"/>
      <c r="K747" s="14"/>
      <c r="L747" s="18"/>
      <c r="M747" s="159"/>
      <c r="N747" s="18"/>
      <c r="O747" s="38"/>
    </row>
    <row r="748" spans="1:15">
      <c r="A748" s="18"/>
      <c r="B748" s="18"/>
      <c r="C748" s="18"/>
      <c r="D748" s="18"/>
      <c r="E748" s="14"/>
      <c r="F748" s="18"/>
      <c r="G748" s="13"/>
      <c r="H748" s="14"/>
      <c r="I748" s="14"/>
      <c r="J748" s="18"/>
      <c r="K748" s="14"/>
      <c r="L748" s="18"/>
      <c r="M748" s="159"/>
      <c r="N748" s="18"/>
      <c r="O748" s="38"/>
    </row>
    <row r="749" spans="1:15">
      <c r="A749" s="18"/>
      <c r="B749" s="18"/>
      <c r="C749" s="18"/>
      <c r="D749" s="18"/>
      <c r="E749" s="14"/>
      <c r="F749" s="18"/>
      <c r="G749" s="13"/>
      <c r="H749" s="14"/>
      <c r="I749" s="14"/>
      <c r="J749" s="18"/>
      <c r="K749" s="14"/>
      <c r="L749" s="18"/>
      <c r="M749" s="159"/>
      <c r="N749" s="18"/>
      <c r="O749" s="38"/>
    </row>
    <row r="750" spans="1:15">
      <c r="A750" s="18"/>
      <c r="B750" s="18"/>
      <c r="C750" s="18"/>
      <c r="D750" s="18"/>
      <c r="E750" s="14"/>
      <c r="F750" s="18"/>
      <c r="G750" s="13"/>
      <c r="H750" s="14"/>
      <c r="I750" s="14"/>
      <c r="J750" s="18"/>
      <c r="K750" s="14"/>
      <c r="L750" s="18"/>
      <c r="M750" s="159"/>
      <c r="N750" s="18"/>
      <c r="O750" s="38"/>
    </row>
    <row r="751" spans="1:15">
      <c r="A751" s="18"/>
      <c r="B751" s="18"/>
      <c r="C751" s="18"/>
      <c r="D751" s="18"/>
      <c r="E751" s="14"/>
      <c r="F751" s="18"/>
      <c r="G751" s="13"/>
      <c r="H751" s="14"/>
      <c r="I751" s="14"/>
      <c r="J751" s="18"/>
      <c r="K751" s="14"/>
      <c r="L751" s="18"/>
      <c r="M751" s="159"/>
      <c r="N751" s="18"/>
      <c r="O751" s="38"/>
    </row>
    <row r="752" spans="1:15">
      <c r="A752" s="18"/>
      <c r="B752" s="18"/>
      <c r="C752" s="18"/>
      <c r="D752" s="18"/>
      <c r="E752" s="14"/>
      <c r="F752" s="18"/>
      <c r="G752" s="13"/>
      <c r="H752" s="14"/>
      <c r="I752" s="14"/>
      <c r="J752" s="18"/>
      <c r="K752" s="14"/>
      <c r="L752" s="18"/>
      <c r="M752" s="159"/>
      <c r="N752" s="18"/>
      <c r="O752" s="38"/>
    </row>
    <row r="753" spans="1:15">
      <c r="A753" s="18"/>
      <c r="B753" s="18"/>
      <c r="C753" s="18"/>
      <c r="D753" s="18"/>
      <c r="E753" s="14"/>
      <c r="F753" s="18"/>
      <c r="G753" s="13"/>
      <c r="H753" s="14"/>
      <c r="I753" s="14"/>
      <c r="J753" s="18"/>
      <c r="K753" s="14"/>
      <c r="L753" s="18"/>
      <c r="M753" s="159"/>
      <c r="N753" s="18"/>
      <c r="O753" s="38"/>
    </row>
    <row r="754" spans="1:15">
      <c r="A754" s="18"/>
      <c r="B754" s="18"/>
      <c r="C754" s="18"/>
      <c r="D754" s="18"/>
      <c r="E754" s="14"/>
      <c r="F754" s="18"/>
      <c r="G754" s="13"/>
      <c r="H754" s="14"/>
      <c r="I754" s="14"/>
      <c r="J754" s="18"/>
      <c r="K754" s="14"/>
      <c r="L754" s="18"/>
      <c r="M754" s="159"/>
      <c r="N754" s="18"/>
      <c r="O754" s="38"/>
    </row>
    <row r="755" spans="1:15">
      <c r="A755" s="18"/>
      <c r="B755" s="18"/>
      <c r="C755" s="18"/>
      <c r="D755" s="18"/>
      <c r="E755" s="14"/>
      <c r="F755" s="18"/>
      <c r="G755" s="13"/>
      <c r="H755" s="14"/>
      <c r="I755" s="14"/>
      <c r="J755" s="18"/>
      <c r="K755" s="14"/>
      <c r="L755" s="18"/>
      <c r="M755" s="159"/>
      <c r="N755" s="18"/>
      <c r="O755" s="38"/>
    </row>
    <row r="756" spans="1:15">
      <c r="A756" s="18"/>
      <c r="B756" s="18"/>
      <c r="C756" s="18"/>
      <c r="D756" s="18"/>
      <c r="E756" s="14"/>
      <c r="F756" s="18"/>
      <c r="G756" s="13"/>
      <c r="H756" s="14"/>
      <c r="I756" s="14"/>
      <c r="J756" s="18"/>
      <c r="K756" s="14"/>
      <c r="L756" s="18"/>
      <c r="M756" s="159"/>
      <c r="N756" s="18"/>
      <c r="O756" s="38"/>
    </row>
    <row r="757" spans="1:15">
      <c r="A757" s="18"/>
      <c r="B757" s="18"/>
      <c r="C757" s="18"/>
      <c r="D757" s="18"/>
      <c r="E757" s="14"/>
      <c r="F757" s="18"/>
      <c r="G757" s="13"/>
      <c r="H757" s="14"/>
      <c r="I757" s="14"/>
      <c r="J757" s="18"/>
      <c r="K757" s="14"/>
      <c r="L757" s="18"/>
      <c r="M757" s="159"/>
      <c r="N757" s="18"/>
      <c r="O757" s="38"/>
    </row>
    <row r="758" spans="1:15">
      <c r="A758" s="18"/>
      <c r="B758" s="18"/>
      <c r="C758" s="18"/>
      <c r="D758" s="18"/>
      <c r="E758" s="14"/>
      <c r="F758" s="18"/>
      <c r="G758" s="13"/>
      <c r="H758" s="14"/>
      <c r="I758" s="14"/>
      <c r="J758" s="18"/>
      <c r="K758" s="14"/>
      <c r="L758" s="18"/>
      <c r="M758" s="159"/>
      <c r="N758" s="18"/>
      <c r="O758" s="38"/>
    </row>
    <row r="759" spans="1:15">
      <c r="A759" s="18"/>
      <c r="B759" s="18"/>
      <c r="C759" s="18"/>
      <c r="D759" s="18"/>
      <c r="E759" s="14"/>
      <c r="F759" s="18"/>
      <c r="G759" s="13"/>
      <c r="H759" s="14"/>
      <c r="I759" s="14"/>
      <c r="J759" s="18"/>
      <c r="K759" s="14"/>
      <c r="L759" s="18"/>
      <c r="M759" s="159"/>
      <c r="N759" s="18"/>
      <c r="O759" s="38"/>
    </row>
    <row r="760" spans="1:15">
      <c r="A760" s="18"/>
      <c r="B760" s="18"/>
      <c r="C760" s="18"/>
      <c r="D760" s="18"/>
      <c r="E760" s="14"/>
      <c r="F760" s="18"/>
      <c r="G760" s="13"/>
      <c r="H760" s="14"/>
      <c r="I760" s="14"/>
      <c r="J760" s="18"/>
      <c r="K760" s="14"/>
      <c r="L760" s="18"/>
      <c r="M760" s="159"/>
      <c r="N760" s="18"/>
      <c r="O760" s="38"/>
    </row>
    <row r="761" spans="1:15">
      <c r="A761" s="18"/>
      <c r="B761" s="18"/>
      <c r="C761" s="18"/>
      <c r="D761" s="18"/>
      <c r="E761" s="14"/>
      <c r="F761" s="18"/>
      <c r="G761" s="13"/>
      <c r="H761" s="14"/>
      <c r="I761" s="14"/>
      <c r="J761" s="18"/>
      <c r="K761" s="14"/>
      <c r="L761" s="18"/>
      <c r="M761" s="159"/>
      <c r="N761" s="18"/>
      <c r="O761" s="38"/>
    </row>
    <row r="762" spans="1:15">
      <c r="A762" s="18"/>
      <c r="B762" s="18"/>
      <c r="C762" s="18"/>
      <c r="D762" s="18"/>
      <c r="E762" s="14"/>
      <c r="F762" s="18"/>
      <c r="G762" s="13"/>
      <c r="H762" s="14"/>
      <c r="I762" s="14"/>
      <c r="J762" s="18"/>
      <c r="K762" s="14"/>
      <c r="L762" s="18"/>
      <c r="M762" s="159"/>
      <c r="N762" s="18"/>
      <c r="O762" s="38"/>
    </row>
    <row r="763" spans="1:15">
      <c r="A763" s="18"/>
      <c r="B763" s="18"/>
      <c r="C763" s="18"/>
      <c r="D763" s="18"/>
      <c r="E763" s="14"/>
      <c r="F763" s="18"/>
      <c r="G763" s="13"/>
      <c r="H763" s="14"/>
      <c r="I763" s="14"/>
      <c r="J763" s="18"/>
      <c r="K763" s="14"/>
      <c r="L763" s="18"/>
      <c r="M763" s="159"/>
      <c r="N763" s="18"/>
      <c r="O763" s="38"/>
    </row>
    <row r="764" spans="1:15">
      <c r="A764" s="18"/>
      <c r="B764" s="18"/>
      <c r="C764" s="18"/>
      <c r="D764" s="18"/>
      <c r="E764" s="14"/>
      <c r="F764" s="18"/>
      <c r="G764" s="13"/>
      <c r="H764" s="14"/>
      <c r="I764" s="14"/>
      <c r="J764" s="18"/>
      <c r="K764" s="14"/>
      <c r="L764" s="18"/>
      <c r="M764" s="159"/>
      <c r="N764" s="18"/>
      <c r="O764" s="38"/>
    </row>
    <row r="765" spans="1:15">
      <c r="A765" s="18"/>
      <c r="B765" s="18"/>
      <c r="C765" s="18"/>
      <c r="D765" s="18"/>
      <c r="E765" s="14"/>
      <c r="F765" s="18"/>
      <c r="G765" s="13"/>
      <c r="H765" s="14"/>
      <c r="I765" s="14"/>
      <c r="J765" s="18"/>
      <c r="K765" s="14"/>
      <c r="L765" s="18"/>
      <c r="M765" s="159"/>
      <c r="N765" s="18"/>
      <c r="O765" s="38"/>
    </row>
    <row r="766" spans="1:15">
      <c r="A766" s="18"/>
      <c r="B766" s="18"/>
      <c r="C766" s="18"/>
      <c r="D766" s="18"/>
      <c r="E766" s="14"/>
      <c r="F766" s="18"/>
      <c r="G766" s="13"/>
      <c r="H766" s="14"/>
      <c r="I766" s="14"/>
      <c r="J766" s="18"/>
      <c r="K766" s="14"/>
      <c r="L766" s="18"/>
      <c r="M766" s="159"/>
      <c r="N766" s="18"/>
      <c r="O766" s="38"/>
    </row>
    <row r="767" spans="1:15">
      <c r="A767" s="18"/>
      <c r="B767" s="18"/>
      <c r="C767" s="18"/>
      <c r="D767" s="18"/>
      <c r="E767" s="14"/>
      <c r="F767" s="18"/>
      <c r="G767" s="13"/>
      <c r="H767" s="14"/>
      <c r="I767" s="14"/>
      <c r="J767" s="18"/>
      <c r="K767" s="14"/>
      <c r="L767" s="18"/>
      <c r="M767" s="159"/>
      <c r="N767" s="18"/>
      <c r="O767" s="38"/>
    </row>
    <row r="768" spans="1:15">
      <c r="A768" s="18"/>
      <c r="B768" s="18"/>
      <c r="C768" s="18"/>
      <c r="D768" s="18"/>
      <c r="E768" s="14"/>
      <c r="F768" s="18"/>
      <c r="G768" s="13"/>
      <c r="H768" s="14"/>
      <c r="I768" s="14"/>
      <c r="J768" s="18"/>
      <c r="K768" s="14"/>
      <c r="L768" s="18"/>
      <c r="M768" s="159"/>
      <c r="N768" s="18"/>
      <c r="O768" s="38"/>
    </row>
    <row r="769" spans="1:15">
      <c r="A769" s="18"/>
      <c r="B769" s="18"/>
      <c r="C769" s="18"/>
      <c r="D769" s="18"/>
      <c r="E769" s="14"/>
      <c r="F769" s="18"/>
      <c r="G769" s="13"/>
      <c r="H769" s="14"/>
      <c r="I769" s="14"/>
      <c r="J769" s="18"/>
      <c r="K769" s="14"/>
      <c r="L769" s="18"/>
      <c r="M769" s="159"/>
      <c r="N769" s="18"/>
      <c r="O769" s="38"/>
    </row>
    <row r="770" spans="1:15">
      <c r="A770" s="18"/>
      <c r="B770" s="18"/>
      <c r="C770" s="18"/>
      <c r="D770" s="18"/>
      <c r="E770" s="14"/>
      <c r="F770" s="18"/>
      <c r="G770" s="13"/>
      <c r="H770" s="14"/>
      <c r="I770" s="14"/>
      <c r="J770" s="18"/>
      <c r="K770" s="14"/>
      <c r="L770" s="18"/>
      <c r="M770" s="159"/>
      <c r="N770" s="18"/>
      <c r="O770" s="38"/>
    </row>
    <row r="771" spans="1:15">
      <c r="A771" s="18"/>
      <c r="B771" s="18"/>
      <c r="C771" s="18"/>
      <c r="D771" s="18"/>
      <c r="E771" s="14"/>
      <c r="F771" s="18"/>
      <c r="G771" s="13"/>
      <c r="H771" s="14"/>
      <c r="I771" s="14"/>
      <c r="J771" s="18"/>
      <c r="K771" s="14"/>
      <c r="L771" s="18"/>
      <c r="M771" s="159"/>
      <c r="N771" s="18"/>
      <c r="O771" s="38"/>
    </row>
    <row r="772" spans="1:15">
      <c r="A772" s="18"/>
      <c r="B772" s="18"/>
      <c r="C772" s="18"/>
      <c r="D772" s="18"/>
      <c r="E772" s="14"/>
      <c r="F772" s="18"/>
      <c r="G772" s="13"/>
      <c r="H772" s="14"/>
      <c r="I772" s="14"/>
      <c r="J772" s="18"/>
      <c r="K772" s="14"/>
      <c r="L772" s="18"/>
      <c r="M772" s="159"/>
      <c r="N772" s="18"/>
      <c r="O772" s="38"/>
    </row>
    <row r="773" spans="1:15">
      <c r="A773" s="18"/>
      <c r="B773" s="18"/>
      <c r="C773" s="18"/>
      <c r="D773" s="18"/>
      <c r="E773" s="14"/>
      <c r="F773" s="18"/>
      <c r="G773" s="13"/>
      <c r="H773" s="14"/>
      <c r="I773" s="14"/>
      <c r="J773" s="18"/>
      <c r="K773" s="14"/>
      <c r="L773" s="18"/>
      <c r="M773" s="159"/>
      <c r="N773" s="18"/>
      <c r="O773" s="38"/>
    </row>
    <row r="774" spans="1:15">
      <c r="A774" s="18"/>
      <c r="B774" s="18"/>
      <c r="C774" s="18"/>
      <c r="D774" s="18"/>
      <c r="E774" s="14"/>
      <c r="F774" s="18"/>
      <c r="G774" s="13"/>
      <c r="H774" s="14"/>
      <c r="I774" s="14"/>
      <c r="J774" s="18"/>
      <c r="K774" s="14"/>
      <c r="L774" s="18"/>
      <c r="M774" s="159"/>
      <c r="N774" s="18"/>
      <c r="O774" s="38"/>
    </row>
    <row r="775" spans="1:15">
      <c r="A775" s="18"/>
      <c r="B775" s="18"/>
      <c r="C775" s="18"/>
      <c r="D775" s="18"/>
      <c r="E775" s="14"/>
      <c r="F775" s="18"/>
      <c r="G775" s="13"/>
      <c r="H775" s="14"/>
      <c r="I775" s="14"/>
      <c r="J775" s="18"/>
      <c r="K775" s="14"/>
      <c r="L775" s="18"/>
      <c r="M775" s="159"/>
      <c r="N775" s="18"/>
      <c r="O775" s="38"/>
    </row>
    <row r="776" spans="1:15">
      <c r="A776" s="18"/>
      <c r="B776" s="18"/>
      <c r="C776" s="18"/>
      <c r="D776" s="18"/>
      <c r="E776" s="14"/>
      <c r="F776" s="18"/>
      <c r="G776" s="13"/>
      <c r="H776" s="14"/>
      <c r="I776" s="14"/>
      <c r="J776" s="18"/>
      <c r="K776" s="14"/>
      <c r="L776" s="18"/>
      <c r="M776" s="159"/>
      <c r="N776" s="18"/>
      <c r="O776" s="38"/>
    </row>
    <row r="777" spans="1:15">
      <c r="A777" s="18"/>
      <c r="B777" s="18"/>
      <c r="C777" s="18"/>
      <c r="D777" s="18"/>
      <c r="E777" s="14"/>
      <c r="F777" s="18"/>
      <c r="G777" s="13"/>
      <c r="H777" s="14"/>
      <c r="I777" s="14"/>
      <c r="J777" s="18"/>
      <c r="K777" s="14"/>
      <c r="L777" s="18"/>
      <c r="M777" s="159"/>
      <c r="N777" s="18"/>
      <c r="O777" s="38"/>
    </row>
    <row r="778" spans="1:15">
      <c r="A778" s="18"/>
      <c r="B778" s="18"/>
      <c r="C778" s="18"/>
      <c r="D778" s="18"/>
      <c r="E778" s="14"/>
      <c r="F778" s="18"/>
      <c r="G778" s="13"/>
      <c r="H778" s="14"/>
      <c r="I778" s="14"/>
      <c r="J778" s="18"/>
      <c r="K778" s="14"/>
      <c r="L778" s="18"/>
      <c r="M778" s="159"/>
      <c r="N778" s="18"/>
      <c r="O778" s="38"/>
    </row>
    <row r="779" spans="1:15">
      <c r="A779" s="18"/>
      <c r="B779" s="18"/>
      <c r="C779" s="18"/>
      <c r="D779" s="18"/>
      <c r="E779" s="14"/>
      <c r="F779" s="18"/>
      <c r="G779" s="13"/>
      <c r="H779" s="14"/>
      <c r="I779" s="14"/>
      <c r="J779" s="18"/>
      <c r="K779" s="14"/>
      <c r="L779" s="18"/>
      <c r="M779" s="159"/>
      <c r="N779" s="18"/>
      <c r="O779" s="38"/>
    </row>
    <row r="780" spans="1:15">
      <c r="A780" s="18"/>
      <c r="B780" s="18"/>
      <c r="C780" s="18"/>
      <c r="D780" s="18"/>
      <c r="E780" s="14"/>
      <c r="F780" s="18"/>
      <c r="G780" s="13"/>
      <c r="H780" s="14"/>
      <c r="I780" s="14"/>
      <c r="J780" s="18"/>
      <c r="K780" s="14"/>
      <c r="L780" s="18"/>
      <c r="M780" s="159"/>
      <c r="N780" s="18"/>
      <c r="O780" s="38"/>
    </row>
    <row r="781" spans="1:15">
      <c r="A781" s="18"/>
      <c r="B781" s="18"/>
      <c r="C781" s="18"/>
      <c r="D781" s="18"/>
      <c r="E781" s="14"/>
      <c r="F781" s="18"/>
      <c r="G781" s="13"/>
      <c r="H781" s="14"/>
      <c r="I781" s="14"/>
      <c r="J781" s="18"/>
      <c r="K781" s="14"/>
      <c r="L781" s="18"/>
      <c r="M781" s="159"/>
      <c r="N781" s="18"/>
      <c r="O781" s="38"/>
    </row>
    <row r="782" spans="1:15">
      <c r="A782" s="18"/>
      <c r="B782" s="18"/>
      <c r="C782" s="18"/>
      <c r="D782" s="18"/>
      <c r="E782" s="14"/>
      <c r="F782" s="18"/>
      <c r="G782" s="13"/>
      <c r="H782" s="14"/>
      <c r="I782" s="14"/>
      <c r="J782" s="18"/>
      <c r="K782" s="14"/>
      <c r="L782" s="18"/>
      <c r="M782" s="159"/>
      <c r="N782" s="18"/>
      <c r="O782" s="38"/>
    </row>
  </sheetData>
  <autoFilter ref="A10:N247" xr:uid="{567D56FC-EA03-4E01-9B92-C6C1F3C183CD}"/>
  <mergeCells count="12">
    <mergeCell ref="A1:E1"/>
    <mergeCell ref="F1:I1"/>
    <mergeCell ref="A2:E2"/>
    <mergeCell ref="F2:I2"/>
    <mergeCell ref="A3:E3"/>
    <mergeCell ref="F3:I3"/>
    <mergeCell ref="F4:I4"/>
    <mergeCell ref="A5:E6"/>
    <mergeCell ref="A7:E7"/>
    <mergeCell ref="A8:E8"/>
    <mergeCell ref="A9:E9"/>
    <mergeCell ref="A4:E4"/>
  </mergeCells>
  <conditionalFormatting sqref="AH21:AO21 M11:M247 M268:M1048576">
    <cfRule type="cellIs" dxfId="14" priority="9" operator="equal">
      <formula>"Pass"</formula>
    </cfRule>
  </conditionalFormatting>
  <conditionalFormatting sqref="AH21:AO21 M11:M247 M268:M1048576">
    <cfRule type="cellIs" dxfId="13" priority="8" operator="equal">
      <formula>"Fail"</formula>
    </cfRule>
  </conditionalFormatting>
  <conditionalFormatting sqref="AH21:AO21 M11:M247 M268:M1048576">
    <cfRule type="cellIs" dxfId="12" priority="7" operator="equal">
      <formula>"Not Executed"</formula>
    </cfRule>
  </conditionalFormatting>
  <dataValidations count="2">
    <dataValidation showInputMessage="1" showErrorMessage="1" sqref="L10" xr:uid="{34236DC3-E4BD-4FD1-9CD5-4C4C92C9FE1B}"/>
    <dataValidation type="list" allowBlank="1" showInputMessage="1" showErrorMessage="1" sqref="M11:M143 M162:M247" xr:uid="{38244DA0-725C-41C5-A550-B3C812EEDCF6}">
      <formula1>"Not Executed,Pass,Fail"</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76859-ED5E-4F13-9EB6-CEF85C5D0221}">
  <dimension ref="A1:AY190"/>
  <sheetViews>
    <sheetView zoomScale="68" workbookViewId="0">
      <pane ySplit="10" topLeftCell="B11" activePane="bottomLeft" state="frozen"/>
      <selection pane="bottomLeft" activeCell="M20" sqref="M20"/>
    </sheetView>
  </sheetViews>
  <sheetFormatPr defaultColWidth="9.140625" defaultRowHeight="15.75"/>
  <cols>
    <col min="1" max="1" width="9.140625" style="16"/>
    <col min="2" max="2" width="17.140625" style="16" customWidth="1"/>
    <col min="3" max="3" width="13.7109375" style="16" customWidth="1"/>
    <col min="4" max="4" width="21" style="16" customWidth="1"/>
    <col min="5" max="5" width="26.5703125" style="15" customWidth="1"/>
    <col min="6" max="6" width="16.85546875" style="16" customWidth="1"/>
    <col min="7" max="7" width="31.28515625" style="16" customWidth="1"/>
    <col min="8" max="8" width="34.7109375" style="15" customWidth="1"/>
    <col min="9" max="9" width="24.5703125" style="15" customWidth="1"/>
    <col min="10" max="10" width="25.42578125" style="16" customWidth="1"/>
    <col min="11" max="11" width="41.5703125" style="15" customWidth="1"/>
    <col min="12" max="12" width="44" style="16" customWidth="1"/>
    <col min="13" max="13" width="16.5703125" style="114" customWidth="1"/>
    <col min="14" max="14" width="18.5703125" style="16" customWidth="1"/>
    <col min="15" max="15" width="18.85546875" style="16" customWidth="1"/>
    <col min="16" max="16384" width="9.140625" style="16"/>
  </cols>
  <sheetData>
    <row r="1" spans="1:51">
      <c r="A1" s="222" t="s">
        <v>35</v>
      </c>
      <c r="B1" s="223"/>
      <c r="C1" s="223"/>
      <c r="D1" s="223"/>
      <c r="E1" s="224"/>
      <c r="F1" s="225">
        <v>4</v>
      </c>
      <c r="G1" s="205"/>
      <c r="H1" s="205"/>
      <c r="I1" s="205"/>
      <c r="J1" s="73"/>
      <c r="K1" s="73"/>
      <c r="L1" s="73"/>
      <c r="M1" s="104"/>
      <c r="N1" s="74"/>
      <c r="O1" s="71"/>
    </row>
    <row r="2" spans="1:51">
      <c r="A2" s="222" t="s">
        <v>36</v>
      </c>
      <c r="B2" s="223"/>
      <c r="C2" s="223"/>
      <c r="D2" s="223"/>
      <c r="E2" s="224"/>
      <c r="F2" s="225">
        <v>3</v>
      </c>
      <c r="G2" s="205"/>
      <c r="H2" s="205"/>
      <c r="I2" s="205"/>
      <c r="J2" s="73"/>
      <c r="K2" s="73"/>
      <c r="L2" s="73"/>
      <c r="M2" s="104"/>
      <c r="N2" s="74"/>
      <c r="O2" s="71"/>
    </row>
    <row r="3" spans="1:51">
      <c r="A3" s="213" t="s">
        <v>37</v>
      </c>
      <c r="B3" s="214"/>
      <c r="C3" s="214"/>
      <c r="D3" s="214"/>
      <c r="E3" s="215"/>
      <c r="F3" s="225" cm="1">
        <f t="array" ref="F3">COUNTA(_xlfn.UNIQUE(_xlfn._xlws.FILTER(D11:D1000, D11:D1000&lt;&gt;"")))</f>
        <v>1</v>
      </c>
      <c r="G3" s="205"/>
      <c r="H3" s="205"/>
      <c r="I3" s="205"/>
      <c r="J3" s="73"/>
      <c r="K3" s="73"/>
      <c r="L3" s="73"/>
      <c r="M3" s="104"/>
      <c r="N3" s="74"/>
      <c r="O3" s="71"/>
    </row>
    <row r="4" spans="1:51">
      <c r="A4" s="213" t="s">
        <v>38</v>
      </c>
      <c r="B4" s="214"/>
      <c r="C4" s="214"/>
      <c r="D4" s="214"/>
      <c r="E4" s="215"/>
      <c r="F4" s="205">
        <f>COUNT(A11:A231)</f>
        <v>75</v>
      </c>
      <c r="G4" s="205"/>
      <c r="H4" s="205"/>
      <c r="I4" s="205"/>
      <c r="J4" s="101" t="s">
        <v>39</v>
      </c>
      <c r="K4" s="101" t="s">
        <v>40</v>
      </c>
      <c r="L4" s="102" t="s">
        <v>41</v>
      </c>
      <c r="M4" s="144" t="s">
        <v>42</v>
      </c>
      <c r="N4" s="145" t="s">
        <v>43</v>
      </c>
      <c r="O4" s="100"/>
    </row>
    <row r="5" spans="1:51" ht="18.75" customHeight="1">
      <c r="A5" s="207" t="s">
        <v>44</v>
      </c>
      <c r="B5" s="208"/>
      <c r="C5" s="208"/>
      <c r="D5" s="208"/>
      <c r="E5" s="209"/>
      <c r="F5" s="75" t="s">
        <v>45</v>
      </c>
      <c r="G5" s="76" t="s">
        <v>46</v>
      </c>
      <c r="H5" s="23" t="s">
        <v>47</v>
      </c>
      <c r="I5" s="23"/>
      <c r="J5" s="95" cm="1">
        <f t="array" ref="J5">COUNTA(_xlfn.UNIQUE(_xlfn._xlws.FILTER(D11:D1000, D11:D1000&lt;&gt;"")))</f>
        <v>1</v>
      </c>
      <c r="K5" s="23">
        <f>COUNT(A11:A231)</f>
        <v>75</v>
      </c>
      <c r="L5" s="99">
        <f ca="1">COUNTIF(M8:INDEX(O:O,COUNTA(C:C)+10),"Pass")</f>
        <v>1</v>
      </c>
      <c r="M5" s="98">
        <f ca="1">COUNTIF(M8:INDEX(O:O,COUNTA(C:C)+10),"Fail")</f>
        <v>0</v>
      </c>
      <c r="N5" s="98">
        <f ca="1">COUNTIF(M8:INDEX(O:O,COUNTA(C:C)+10),"Not Executed")</f>
        <v>0</v>
      </c>
      <c r="O5" s="97"/>
    </row>
    <row r="6" spans="1:51">
      <c r="A6" s="210"/>
      <c r="B6" s="211"/>
      <c r="C6" s="211"/>
      <c r="D6" s="211"/>
      <c r="E6" s="212"/>
      <c r="F6" s="24"/>
      <c r="G6" s="24"/>
      <c r="H6" s="25"/>
      <c r="I6" s="26"/>
      <c r="J6" s="26"/>
      <c r="K6" s="26"/>
      <c r="L6" s="26"/>
      <c r="M6" s="107"/>
      <c r="N6" s="71"/>
      <c r="O6" s="71"/>
    </row>
    <row r="7" spans="1:51">
      <c r="A7" s="213" t="s">
        <v>48</v>
      </c>
      <c r="B7" s="214"/>
      <c r="C7" s="214"/>
      <c r="D7" s="214"/>
      <c r="E7" s="215"/>
      <c r="F7" s="27"/>
      <c r="G7" s="27"/>
      <c r="H7" s="27"/>
      <c r="I7" s="27"/>
      <c r="J7" s="27"/>
      <c r="K7" s="27"/>
      <c r="L7" s="27"/>
      <c r="M7" s="72"/>
      <c r="N7" s="71"/>
      <c r="O7" s="71"/>
    </row>
    <row r="8" spans="1:51">
      <c r="A8" s="216" t="s">
        <v>49</v>
      </c>
      <c r="B8" s="217"/>
      <c r="C8" s="217"/>
      <c r="D8" s="217"/>
      <c r="E8" s="218"/>
      <c r="F8" s="29"/>
      <c r="G8" s="30"/>
      <c r="H8" s="31"/>
      <c r="I8" s="32"/>
      <c r="J8" s="33"/>
      <c r="K8" s="32"/>
      <c r="L8" s="33"/>
      <c r="M8" s="108"/>
      <c r="N8" s="71"/>
      <c r="O8" s="71"/>
    </row>
    <row r="9" spans="1:51">
      <c r="A9" s="219" t="s">
        <v>50</v>
      </c>
      <c r="B9" s="220"/>
      <c r="C9" s="220"/>
      <c r="D9" s="220"/>
      <c r="E9" s="221"/>
      <c r="F9" s="34"/>
      <c r="G9" s="35"/>
      <c r="H9" s="36"/>
      <c r="I9" s="36"/>
      <c r="J9" s="35"/>
      <c r="K9" s="36"/>
      <c r="L9" s="35"/>
      <c r="M9" s="109"/>
      <c r="N9" s="71"/>
      <c r="O9" s="71"/>
    </row>
    <row r="10" spans="1:51" s="15" customFormat="1" ht="32.25">
      <c r="A10" s="79" t="s">
        <v>51</v>
      </c>
      <c r="B10" s="81" t="s">
        <v>52</v>
      </c>
      <c r="C10" s="85" t="s">
        <v>53</v>
      </c>
      <c r="D10" s="85" t="s">
        <v>54</v>
      </c>
      <c r="E10" s="86" t="s">
        <v>55</v>
      </c>
      <c r="F10" s="78" t="s">
        <v>56</v>
      </c>
      <c r="G10" s="20" t="s">
        <v>57</v>
      </c>
      <c r="H10" s="20" t="s">
        <v>58</v>
      </c>
      <c r="I10" s="77" t="s">
        <v>59</v>
      </c>
      <c r="J10" s="77" t="s">
        <v>60</v>
      </c>
      <c r="K10" s="77" t="s">
        <v>61</v>
      </c>
      <c r="L10" s="77" t="s">
        <v>62</v>
      </c>
      <c r="M10" s="110" t="s">
        <v>63</v>
      </c>
      <c r="N10" s="79" t="s">
        <v>64</v>
      </c>
      <c r="O10" s="81" t="s">
        <v>65</v>
      </c>
    </row>
    <row r="11" spans="1:51" ht="63.75" customHeight="1">
      <c r="A11" s="49">
        <v>1</v>
      </c>
      <c r="B11" s="14"/>
      <c r="C11" s="50"/>
      <c r="D11" s="51"/>
      <c r="E11" s="17"/>
      <c r="F11" s="52"/>
      <c r="G11" s="140" t="s">
        <v>1054</v>
      </c>
      <c r="H11" s="12" t="s">
        <v>1055</v>
      </c>
      <c r="I11" s="13"/>
      <c r="J11" s="13"/>
      <c r="K11" s="137" t="s">
        <v>1056</v>
      </c>
      <c r="L11" s="140" t="s">
        <v>1057</v>
      </c>
      <c r="M11" s="111" t="s">
        <v>74</v>
      </c>
      <c r="N11" s="45"/>
      <c r="O11" s="14"/>
      <c r="P11" s="15"/>
      <c r="Q11" s="15"/>
      <c r="R11" s="15"/>
      <c r="S11" s="15"/>
      <c r="T11" s="15"/>
      <c r="U11" s="15"/>
      <c r="V11" s="15"/>
      <c r="W11" s="15"/>
      <c r="X11" s="15"/>
      <c r="Y11" s="15"/>
      <c r="Z11" s="15"/>
      <c r="AA11" s="15"/>
      <c r="AB11" s="15"/>
      <c r="AC11" s="15"/>
      <c r="AD11" s="15"/>
      <c r="AE11" s="15"/>
      <c r="AF11" s="15"/>
      <c r="AG11" s="15"/>
      <c r="AH11" s="15"/>
      <c r="AI11" s="15"/>
      <c r="AJ11" s="15"/>
      <c r="AK11" s="15"/>
      <c r="AL11" s="15"/>
      <c r="AM11" s="15"/>
      <c r="AN11" s="15"/>
      <c r="AO11" s="15"/>
      <c r="AP11" s="15"/>
      <c r="AQ11" s="15"/>
      <c r="AR11" s="15"/>
      <c r="AS11" s="15"/>
      <c r="AT11" s="15"/>
      <c r="AU11" s="15"/>
      <c r="AV11" s="15"/>
      <c r="AW11" s="15"/>
      <c r="AX11" s="15"/>
      <c r="AY11" s="15"/>
    </row>
    <row r="12" spans="1:51" ht="69" customHeight="1">
      <c r="A12" s="49">
        <v>2</v>
      </c>
      <c r="B12" s="14"/>
      <c r="C12" s="50"/>
      <c r="D12" s="51"/>
      <c r="E12" s="17"/>
      <c r="F12" s="52"/>
      <c r="G12" s="140" t="s">
        <v>1058</v>
      </c>
      <c r="H12" s="12" t="s">
        <v>1055</v>
      </c>
      <c r="I12" s="13"/>
      <c r="J12" s="13"/>
      <c r="K12" s="138" t="s">
        <v>1059</v>
      </c>
      <c r="L12" s="140" t="s">
        <v>1060</v>
      </c>
      <c r="M12" s="111" t="s">
        <v>74</v>
      </c>
      <c r="N12" s="45"/>
      <c r="O12" s="14"/>
      <c r="P12" s="15"/>
      <c r="Q12" s="15"/>
      <c r="R12" s="15"/>
      <c r="S12" s="15"/>
      <c r="T12" s="15"/>
      <c r="U12" s="15"/>
      <c r="V12" s="15"/>
      <c r="W12" s="15"/>
      <c r="X12" s="15"/>
      <c r="Y12" s="15"/>
      <c r="Z12" s="15"/>
      <c r="AA12" s="15"/>
      <c r="AB12" s="15"/>
      <c r="AC12" s="15"/>
      <c r="AD12" s="15"/>
      <c r="AE12" s="15"/>
      <c r="AF12" s="15"/>
      <c r="AG12" s="15"/>
      <c r="AH12" s="15"/>
      <c r="AI12" s="15"/>
      <c r="AJ12" s="15"/>
      <c r="AK12" s="15"/>
      <c r="AL12" s="15"/>
      <c r="AM12" s="15"/>
      <c r="AN12" s="15"/>
      <c r="AO12" s="15"/>
      <c r="AP12" s="15"/>
      <c r="AQ12" s="15"/>
      <c r="AR12" s="15"/>
      <c r="AS12" s="15"/>
      <c r="AT12" s="15"/>
      <c r="AU12" s="15"/>
      <c r="AV12" s="15"/>
      <c r="AW12" s="15"/>
      <c r="AX12" s="15"/>
      <c r="AY12" s="15"/>
    </row>
    <row r="13" spans="1:51" ht="69" customHeight="1">
      <c r="A13" s="49">
        <v>3</v>
      </c>
      <c r="B13" s="53"/>
      <c r="C13" s="50"/>
      <c r="D13" s="51"/>
      <c r="E13" s="17"/>
      <c r="F13" s="52"/>
      <c r="G13" s="140" t="s">
        <v>1061</v>
      </c>
      <c r="H13" s="12" t="s">
        <v>1055</v>
      </c>
      <c r="I13" s="13"/>
      <c r="J13" s="13"/>
      <c r="K13" s="138" t="s">
        <v>1062</v>
      </c>
      <c r="L13" s="140" t="s">
        <v>1063</v>
      </c>
      <c r="M13" s="111" t="s">
        <v>74</v>
      </c>
      <c r="N13" s="45"/>
      <c r="O13" s="14"/>
      <c r="P13" s="15"/>
      <c r="Q13" s="15"/>
      <c r="R13" s="15"/>
      <c r="S13" s="15"/>
      <c r="T13" s="15"/>
      <c r="U13" s="15"/>
      <c r="V13" s="15"/>
      <c r="W13" s="15"/>
      <c r="X13" s="15"/>
      <c r="Y13" s="15"/>
      <c r="Z13" s="15"/>
      <c r="AA13" s="15"/>
      <c r="AB13" s="15"/>
      <c r="AC13" s="15"/>
      <c r="AD13" s="15"/>
      <c r="AE13" s="15"/>
      <c r="AF13" s="15"/>
      <c r="AG13" s="15"/>
      <c r="AH13" s="15"/>
      <c r="AI13" s="15"/>
      <c r="AJ13" s="15"/>
      <c r="AK13" s="15"/>
      <c r="AL13" s="15"/>
      <c r="AM13" s="15"/>
      <c r="AN13" s="15"/>
      <c r="AO13" s="15"/>
      <c r="AP13" s="15"/>
      <c r="AQ13" s="15"/>
      <c r="AR13" s="15"/>
      <c r="AS13" s="15"/>
      <c r="AT13" s="15"/>
      <c r="AU13" s="15"/>
      <c r="AV13" s="15"/>
      <c r="AW13" s="15"/>
      <c r="AX13" s="15"/>
      <c r="AY13" s="15"/>
    </row>
    <row r="14" spans="1:51" ht="90.75" customHeight="1">
      <c r="A14" s="49">
        <v>4</v>
      </c>
      <c r="B14" s="53"/>
      <c r="C14" s="55"/>
      <c r="D14" s="51"/>
      <c r="E14" s="17"/>
      <c r="F14" s="52"/>
      <c r="G14" s="140" t="s">
        <v>1064</v>
      </c>
      <c r="H14" s="12" t="s">
        <v>1055</v>
      </c>
      <c r="I14" s="14"/>
      <c r="J14" s="13"/>
      <c r="K14" s="138" t="s">
        <v>1065</v>
      </c>
      <c r="L14" s="140" t="s">
        <v>1066</v>
      </c>
      <c r="M14" s="111" t="s">
        <v>74</v>
      </c>
      <c r="N14" s="45"/>
      <c r="O14" s="14"/>
      <c r="P14" s="15"/>
      <c r="Q14" s="15"/>
      <c r="R14" s="15"/>
      <c r="S14" s="15"/>
      <c r="T14" s="15"/>
      <c r="U14" s="15"/>
      <c r="V14" s="15"/>
      <c r="W14" s="15"/>
      <c r="X14" s="15"/>
      <c r="Y14" s="15"/>
      <c r="Z14" s="15"/>
      <c r="AA14" s="15"/>
      <c r="AB14" s="15"/>
      <c r="AC14" s="15"/>
      <c r="AD14" s="15"/>
      <c r="AE14" s="15"/>
      <c r="AF14" s="15"/>
      <c r="AG14" s="15"/>
      <c r="AH14" s="15"/>
      <c r="AI14" s="15"/>
      <c r="AJ14" s="15"/>
      <c r="AK14" s="15"/>
      <c r="AL14" s="15"/>
      <c r="AM14" s="15"/>
      <c r="AN14" s="15"/>
      <c r="AO14" s="15"/>
      <c r="AP14" s="15"/>
      <c r="AQ14" s="15"/>
      <c r="AR14" s="15"/>
      <c r="AS14" s="15"/>
      <c r="AT14" s="15"/>
      <c r="AU14" s="15"/>
      <c r="AV14" s="15"/>
      <c r="AW14" s="15"/>
      <c r="AX14" s="15"/>
      <c r="AY14" s="15"/>
    </row>
    <row r="15" spans="1:51" ht="96" customHeight="1">
      <c r="A15" s="49">
        <v>5</v>
      </c>
      <c r="B15" s="53"/>
      <c r="C15" s="55"/>
      <c r="D15" s="51"/>
      <c r="E15" s="17"/>
      <c r="F15" s="52"/>
      <c r="G15" s="140" t="s">
        <v>1067</v>
      </c>
      <c r="H15" s="12" t="s">
        <v>1055</v>
      </c>
      <c r="I15" s="14"/>
      <c r="J15" s="13"/>
      <c r="K15" s="138" t="s">
        <v>1068</v>
      </c>
      <c r="L15" s="140" t="s">
        <v>1069</v>
      </c>
      <c r="M15" s="111" t="s">
        <v>74</v>
      </c>
      <c r="N15" s="80"/>
      <c r="O15" s="18"/>
    </row>
    <row r="16" spans="1:51" ht="64.5" customHeight="1">
      <c r="A16" s="49">
        <v>6</v>
      </c>
      <c r="B16" s="53"/>
      <c r="C16" s="55"/>
      <c r="D16" s="51"/>
      <c r="E16" s="17"/>
      <c r="F16" s="52"/>
      <c r="G16" s="140" t="s">
        <v>1070</v>
      </c>
      <c r="H16" s="12" t="s">
        <v>1055</v>
      </c>
      <c r="I16" s="13"/>
      <c r="J16" s="13"/>
      <c r="K16" s="138" t="s">
        <v>1071</v>
      </c>
      <c r="L16" s="140" t="s">
        <v>1072</v>
      </c>
      <c r="M16" s="111" t="s">
        <v>74</v>
      </c>
      <c r="N16" s="80"/>
      <c r="O16" s="18"/>
    </row>
    <row r="17" spans="1:15" ht="97.5" customHeight="1">
      <c r="A17" s="49">
        <v>7</v>
      </c>
      <c r="B17" s="53"/>
      <c r="C17" s="55"/>
      <c r="D17" s="51"/>
      <c r="E17" s="17"/>
      <c r="F17" s="52"/>
      <c r="G17" s="140" t="s">
        <v>1073</v>
      </c>
      <c r="H17" s="12" t="s">
        <v>1055</v>
      </c>
      <c r="I17" s="13"/>
      <c r="J17" s="13"/>
      <c r="K17" s="138" t="s">
        <v>1074</v>
      </c>
      <c r="L17" s="140" t="s">
        <v>1075</v>
      </c>
      <c r="M17" s="111" t="s">
        <v>74</v>
      </c>
      <c r="N17" s="80"/>
      <c r="O17" s="18"/>
    </row>
    <row r="18" spans="1:15" ht="93" customHeight="1">
      <c r="A18" s="49">
        <v>8</v>
      </c>
      <c r="B18" s="53"/>
      <c r="C18" s="55"/>
      <c r="D18" s="51"/>
      <c r="E18" s="17"/>
      <c r="F18" s="52"/>
      <c r="G18" s="140" t="s">
        <v>1076</v>
      </c>
      <c r="H18" s="12" t="s">
        <v>1055</v>
      </c>
      <c r="I18" s="13"/>
      <c r="J18" s="13"/>
      <c r="K18" s="138" t="s">
        <v>1077</v>
      </c>
      <c r="L18" s="140" t="s">
        <v>1078</v>
      </c>
      <c r="M18" s="111" t="s">
        <v>74</v>
      </c>
      <c r="N18" s="80"/>
      <c r="O18" s="18"/>
    </row>
    <row r="19" spans="1:15" ht="93" customHeight="1">
      <c r="A19" s="49">
        <v>9</v>
      </c>
      <c r="B19" s="53"/>
      <c r="C19" s="55"/>
      <c r="D19" s="51"/>
      <c r="E19" s="21"/>
      <c r="F19" s="52"/>
      <c r="G19" s="140" t="s">
        <v>1079</v>
      </c>
      <c r="H19" s="12" t="s">
        <v>1055</v>
      </c>
      <c r="I19" s="13"/>
      <c r="J19" s="13"/>
      <c r="K19" s="138" t="s">
        <v>1080</v>
      </c>
      <c r="L19" s="140" t="s">
        <v>1081</v>
      </c>
      <c r="M19" s="111" t="s">
        <v>74</v>
      </c>
      <c r="N19" s="80"/>
      <c r="O19" s="18"/>
    </row>
    <row r="20" spans="1:15" ht="82.5" customHeight="1">
      <c r="A20" s="49">
        <v>10</v>
      </c>
      <c r="B20" s="53"/>
      <c r="C20" s="55"/>
      <c r="D20" s="51"/>
      <c r="E20" s="21"/>
      <c r="F20" s="52"/>
      <c r="G20" s="140" t="s">
        <v>1082</v>
      </c>
      <c r="H20" s="12" t="s">
        <v>1055</v>
      </c>
      <c r="I20" s="13"/>
      <c r="J20" s="13"/>
      <c r="K20" s="138" t="s">
        <v>1083</v>
      </c>
      <c r="L20" s="140" t="s">
        <v>1084</v>
      </c>
      <c r="M20" s="111" t="s">
        <v>74</v>
      </c>
      <c r="N20" s="80"/>
      <c r="O20" s="18"/>
    </row>
    <row r="21" spans="1:15" ht="67.5" customHeight="1">
      <c r="A21" s="49">
        <v>11</v>
      </c>
      <c r="B21" s="53"/>
      <c r="C21" s="55"/>
      <c r="D21" s="51"/>
      <c r="E21" s="21"/>
      <c r="F21" s="52"/>
      <c r="G21" s="140" t="s">
        <v>1085</v>
      </c>
      <c r="H21" s="12" t="s">
        <v>1055</v>
      </c>
      <c r="I21" s="13"/>
      <c r="J21" s="13"/>
      <c r="K21" s="138" t="s">
        <v>1086</v>
      </c>
      <c r="L21" s="140" t="s">
        <v>1087</v>
      </c>
      <c r="M21" s="111" t="s">
        <v>74</v>
      </c>
      <c r="N21" s="80"/>
      <c r="O21" s="18"/>
    </row>
    <row r="22" spans="1:15" ht="95.25" customHeight="1">
      <c r="A22" s="49">
        <v>12</v>
      </c>
      <c r="B22" s="53"/>
      <c r="C22" s="55"/>
      <c r="D22" s="51"/>
      <c r="E22" s="21"/>
      <c r="F22" s="52"/>
      <c r="G22" s="140" t="s">
        <v>1088</v>
      </c>
      <c r="H22" s="12" t="s">
        <v>1055</v>
      </c>
      <c r="I22" s="13"/>
      <c r="J22" s="13"/>
      <c r="K22" s="138" t="s">
        <v>1089</v>
      </c>
      <c r="L22" s="140" t="s">
        <v>1090</v>
      </c>
      <c r="M22" s="111" t="s">
        <v>74</v>
      </c>
      <c r="N22" s="80"/>
      <c r="O22" s="18"/>
    </row>
    <row r="23" spans="1:15" ht="104.25" customHeight="1">
      <c r="A23" s="49">
        <v>13</v>
      </c>
      <c r="B23" s="53"/>
      <c r="C23" s="55"/>
      <c r="D23" s="51"/>
      <c r="E23" s="21"/>
      <c r="F23" s="52"/>
      <c r="G23" s="140" t="s">
        <v>1091</v>
      </c>
      <c r="H23" s="12" t="s">
        <v>1055</v>
      </c>
      <c r="I23" s="38"/>
      <c r="J23" s="13"/>
      <c r="K23" s="138" t="s">
        <v>1092</v>
      </c>
      <c r="L23" s="140" t="s">
        <v>1093</v>
      </c>
      <c r="M23" s="111" t="s">
        <v>74</v>
      </c>
      <c r="N23" s="80"/>
      <c r="O23" s="18"/>
    </row>
    <row r="24" spans="1:15" ht="130.5">
      <c r="A24" s="49">
        <v>14</v>
      </c>
      <c r="B24" s="53"/>
      <c r="C24" s="55"/>
      <c r="D24" s="51"/>
      <c r="E24" s="21"/>
      <c r="F24" s="52"/>
      <c r="G24" s="140" t="s">
        <v>1094</v>
      </c>
      <c r="H24" s="12" t="s">
        <v>1055</v>
      </c>
      <c r="I24" s="13"/>
      <c r="J24" s="13"/>
      <c r="K24" s="138" t="s">
        <v>1095</v>
      </c>
      <c r="L24" s="140" t="s">
        <v>1096</v>
      </c>
      <c r="M24" s="111" t="s">
        <v>74</v>
      </c>
      <c r="N24" s="80"/>
      <c r="O24" s="18"/>
    </row>
    <row r="25" spans="1:15" ht="130.5">
      <c r="A25" s="49">
        <v>15</v>
      </c>
      <c r="B25" s="53"/>
      <c r="C25" s="55"/>
      <c r="D25" s="51"/>
      <c r="E25" s="21"/>
      <c r="F25" s="52"/>
      <c r="G25" s="140" t="s">
        <v>1097</v>
      </c>
      <c r="H25" s="12" t="s">
        <v>1055</v>
      </c>
      <c r="I25" s="38"/>
      <c r="J25" s="13"/>
      <c r="K25" s="138" t="s">
        <v>1098</v>
      </c>
      <c r="L25" s="140" t="s">
        <v>1099</v>
      </c>
      <c r="M25" s="111" t="s">
        <v>74</v>
      </c>
      <c r="N25" s="80"/>
      <c r="O25" s="18"/>
    </row>
    <row r="26" spans="1:15" ht="130.5">
      <c r="A26" s="49">
        <v>16</v>
      </c>
      <c r="B26" s="53"/>
      <c r="C26" s="55"/>
      <c r="D26" s="51"/>
      <c r="E26" s="21"/>
      <c r="F26" s="52"/>
      <c r="G26" s="140" t="s">
        <v>1100</v>
      </c>
      <c r="H26" s="12" t="s">
        <v>1055</v>
      </c>
      <c r="I26" s="38"/>
      <c r="J26" s="13"/>
      <c r="K26" s="138" t="s">
        <v>1101</v>
      </c>
      <c r="L26" s="140" t="s">
        <v>1102</v>
      </c>
      <c r="M26" s="111" t="s">
        <v>74</v>
      </c>
      <c r="N26" s="80"/>
      <c r="O26" s="18"/>
    </row>
    <row r="27" spans="1:15" ht="101.25">
      <c r="A27" s="49">
        <v>17</v>
      </c>
      <c r="B27" s="53"/>
      <c r="C27" s="55"/>
      <c r="D27" s="51"/>
      <c r="E27" s="21"/>
      <c r="F27" s="52"/>
      <c r="G27" s="140" t="s">
        <v>1103</v>
      </c>
      <c r="H27" s="12" t="s">
        <v>1055</v>
      </c>
      <c r="I27" s="38"/>
      <c r="J27" s="13"/>
      <c r="K27" s="138" t="s">
        <v>1104</v>
      </c>
      <c r="L27" s="141" t="s">
        <v>1105</v>
      </c>
      <c r="M27" s="111" t="s">
        <v>74</v>
      </c>
      <c r="N27" s="80"/>
      <c r="O27" s="18"/>
    </row>
    <row r="28" spans="1:15" ht="144.75">
      <c r="A28" s="49">
        <v>18</v>
      </c>
      <c r="B28" s="53"/>
      <c r="C28" s="55"/>
      <c r="D28" s="51"/>
      <c r="E28" s="21"/>
      <c r="F28" s="52"/>
      <c r="G28" s="140" t="s">
        <v>1106</v>
      </c>
      <c r="H28" s="12" t="s">
        <v>1055</v>
      </c>
      <c r="I28" s="13"/>
      <c r="J28" s="13"/>
      <c r="K28" s="138" t="s">
        <v>1107</v>
      </c>
      <c r="L28" s="140" t="s">
        <v>1108</v>
      </c>
      <c r="M28" s="111" t="s">
        <v>74</v>
      </c>
      <c r="N28" s="80"/>
      <c r="O28" s="18"/>
    </row>
    <row r="29" spans="1:15" ht="144.75">
      <c r="A29" s="49">
        <v>19</v>
      </c>
      <c r="B29" s="53"/>
      <c r="C29" s="55"/>
      <c r="D29" s="51"/>
      <c r="E29" s="21"/>
      <c r="F29" s="52"/>
      <c r="G29" s="140" t="s">
        <v>1109</v>
      </c>
      <c r="H29" s="12" t="s">
        <v>1055</v>
      </c>
      <c r="I29" s="38"/>
      <c r="J29" s="13"/>
      <c r="K29" s="138" t="s">
        <v>1110</v>
      </c>
      <c r="L29" s="140" t="s">
        <v>1111</v>
      </c>
      <c r="M29" s="111" t="s">
        <v>74</v>
      </c>
      <c r="N29" s="80"/>
      <c r="O29" s="18"/>
    </row>
    <row r="30" spans="1:15" ht="101.25">
      <c r="A30" s="49">
        <v>20</v>
      </c>
      <c r="B30" s="53"/>
      <c r="C30" s="55"/>
      <c r="D30" s="51"/>
      <c r="E30" s="21"/>
      <c r="F30" s="52"/>
      <c r="G30" s="140" t="s">
        <v>1112</v>
      </c>
      <c r="H30" s="12" t="s">
        <v>1055</v>
      </c>
      <c r="I30" s="38"/>
      <c r="J30" s="13"/>
      <c r="K30" s="138" t="s">
        <v>1113</v>
      </c>
      <c r="L30" s="141" t="s">
        <v>1114</v>
      </c>
      <c r="M30" s="111" t="s">
        <v>74</v>
      </c>
      <c r="N30" s="80"/>
      <c r="O30" s="18"/>
    </row>
    <row r="31" spans="1:15" ht="144.75">
      <c r="A31" s="49">
        <v>21</v>
      </c>
      <c r="B31" s="53"/>
      <c r="C31" s="55"/>
      <c r="D31" s="51"/>
      <c r="E31" s="21"/>
      <c r="F31" s="52"/>
      <c r="G31" s="140" t="s">
        <v>1115</v>
      </c>
      <c r="H31" s="12" t="s">
        <v>1055</v>
      </c>
      <c r="I31" s="38"/>
      <c r="J31" s="13"/>
      <c r="K31" s="138" t="s">
        <v>1116</v>
      </c>
      <c r="L31" s="140" t="s">
        <v>1117</v>
      </c>
      <c r="M31" s="111" t="s">
        <v>74</v>
      </c>
      <c r="N31" s="80"/>
      <c r="O31" s="18"/>
    </row>
    <row r="32" spans="1:15" ht="144.75">
      <c r="A32" s="49">
        <v>22</v>
      </c>
      <c r="B32" s="53"/>
      <c r="C32" s="55"/>
      <c r="D32" s="51"/>
      <c r="E32" s="21"/>
      <c r="F32" s="52"/>
      <c r="G32" s="140" t="s">
        <v>1118</v>
      </c>
      <c r="H32" s="12" t="s">
        <v>1055</v>
      </c>
      <c r="I32" s="13"/>
      <c r="J32" s="13"/>
      <c r="K32" s="138" t="s">
        <v>1119</v>
      </c>
      <c r="L32" s="140" t="s">
        <v>1120</v>
      </c>
      <c r="M32" s="111" t="s">
        <v>74</v>
      </c>
      <c r="N32" s="80"/>
      <c r="O32" s="18"/>
    </row>
    <row r="33" spans="1:15" ht="159">
      <c r="A33" s="49">
        <v>23</v>
      </c>
      <c r="B33" s="53"/>
      <c r="C33" s="55"/>
      <c r="D33" s="51"/>
      <c r="E33" s="21"/>
      <c r="F33" s="52"/>
      <c r="G33" s="140" t="s">
        <v>1121</v>
      </c>
      <c r="H33" s="12" t="s">
        <v>1055</v>
      </c>
      <c r="I33" s="38"/>
      <c r="J33" s="13"/>
      <c r="K33" s="138" t="s">
        <v>1122</v>
      </c>
      <c r="L33" s="141" t="s">
        <v>1123</v>
      </c>
      <c r="M33" s="111" t="s">
        <v>74</v>
      </c>
      <c r="N33" s="80"/>
      <c r="O33" s="18"/>
    </row>
    <row r="34" spans="1:15" ht="201.75">
      <c r="A34" s="49">
        <v>24</v>
      </c>
      <c r="B34" s="53"/>
      <c r="C34" s="55"/>
      <c r="D34" s="51"/>
      <c r="E34" s="21"/>
      <c r="F34" s="52"/>
      <c r="G34" s="140" t="s">
        <v>1124</v>
      </c>
      <c r="H34" s="12" t="s">
        <v>1055</v>
      </c>
      <c r="I34" s="38"/>
      <c r="J34" s="13"/>
      <c r="K34" s="138" t="s">
        <v>1125</v>
      </c>
      <c r="L34" s="140" t="s">
        <v>1126</v>
      </c>
      <c r="M34" s="111" t="s">
        <v>74</v>
      </c>
      <c r="N34" s="80"/>
      <c r="O34" s="18"/>
    </row>
    <row r="35" spans="1:15" ht="201.75">
      <c r="A35" s="49">
        <v>25</v>
      </c>
      <c r="B35" s="53"/>
      <c r="C35" s="55"/>
      <c r="D35" s="51"/>
      <c r="E35" s="21"/>
      <c r="F35" s="52"/>
      <c r="G35" s="140" t="s">
        <v>1127</v>
      </c>
      <c r="H35" s="12" t="s">
        <v>1055</v>
      </c>
      <c r="I35" s="38"/>
      <c r="J35" s="13"/>
      <c r="K35" s="138" t="s">
        <v>1128</v>
      </c>
      <c r="L35" s="140" t="s">
        <v>1129</v>
      </c>
      <c r="M35" s="111" t="s">
        <v>74</v>
      </c>
      <c r="N35" s="80"/>
      <c r="O35" s="18"/>
    </row>
    <row r="36" spans="1:15" ht="101.25">
      <c r="A36" s="49">
        <v>26</v>
      </c>
      <c r="B36" s="53"/>
      <c r="C36" s="55"/>
      <c r="D36" s="51"/>
      <c r="E36" s="21"/>
      <c r="F36" s="52"/>
      <c r="G36" s="140" t="s">
        <v>1130</v>
      </c>
      <c r="H36" s="12" t="s">
        <v>1055</v>
      </c>
      <c r="I36" s="38"/>
      <c r="J36" s="13"/>
      <c r="K36" s="138" t="s">
        <v>1131</v>
      </c>
      <c r="L36" s="141" t="s">
        <v>1132</v>
      </c>
      <c r="M36" s="111" t="s">
        <v>74</v>
      </c>
      <c r="N36" s="80"/>
      <c r="O36" s="18"/>
    </row>
    <row r="37" spans="1:15" ht="144.75">
      <c r="A37" s="49">
        <v>27</v>
      </c>
      <c r="B37" s="53"/>
      <c r="C37" s="55"/>
      <c r="D37" s="51"/>
      <c r="E37" s="21"/>
      <c r="F37" s="52"/>
      <c r="G37" s="140" t="s">
        <v>1133</v>
      </c>
      <c r="H37" s="12" t="s">
        <v>1055</v>
      </c>
      <c r="I37" s="38"/>
      <c r="J37" s="13"/>
      <c r="K37" s="138" t="s">
        <v>1134</v>
      </c>
      <c r="L37" s="140" t="s">
        <v>1135</v>
      </c>
      <c r="M37" s="111" t="s">
        <v>74</v>
      </c>
      <c r="N37" s="80"/>
      <c r="O37" s="18"/>
    </row>
    <row r="38" spans="1:15" ht="111.75" customHeight="1">
      <c r="A38" s="49">
        <v>28</v>
      </c>
      <c r="B38" s="53"/>
      <c r="C38" s="55"/>
      <c r="D38" s="51"/>
      <c r="E38" s="22"/>
      <c r="F38" s="52"/>
      <c r="G38" s="140" t="s">
        <v>1136</v>
      </c>
      <c r="H38" s="12" t="s">
        <v>1055</v>
      </c>
      <c r="I38" s="38"/>
      <c r="J38" s="13"/>
      <c r="K38" s="138" t="s">
        <v>1137</v>
      </c>
      <c r="L38" s="140" t="s">
        <v>1138</v>
      </c>
      <c r="M38" s="111" t="s">
        <v>74</v>
      </c>
      <c r="N38" s="80"/>
      <c r="O38" s="18"/>
    </row>
    <row r="39" spans="1:15" ht="82.5" customHeight="1">
      <c r="A39" s="49">
        <v>29</v>
      </c>
      <c r="B39" s="53"/>
      <c r="C39" s="55"/>
      <c r="D39" s="51"/>
      <c r="E39" s="19"/>
      <c r="F39" s="52"/>
      <c r="G39" s="140" t="s">
        <v>1130</v>
      </c>
      <c r="H39" s="12" t="s">
        <v>1055</v>
      </c>
      <c r="I39" s="38"/>
      <c r="J39" s="13"/>
      <c r="K39" s="138" t="s">
        <v>1131</v>
      </c>
      <c r="L39" s="141" t="s">
        <v>1132</v>
      </c>
      <c r="M39" s="111" t="s">
        <v>74</v>
      </c>
      <c r="N39" s="80"/>
      <c r="O39" s="18"/>
    </row>
    <row r="40" spans="1:15" ht="110.25" customHeight="1">
      <c r="A40" s="49">
        <v>30</v>
      </c>
      <c r="B40" s="53"/>
      <c r="C40" s="55"/>
      <c r="D40" s="51"/>
      <c r="E40" s="21"/>
      <c r="F40" s="52"/>
      <c r="G40" s="140" t="s">
        <v>1133</v>
      </c>
      <c r="H40" s="12" t="s">
        <v>1055</v>
      </c>
      <c r="I40" s="38"/>
      <c r="J40" s="13"/>
      <c r="K40" s="138" t="s">
        <v>1134</v>
      </c>
      <c r="L40" s="140" t="s">
        <v>1135</v>
      </c>
      <c r="M40" s="111" t="s">
        <v>74</v>
      </c>
      <c r="N40" s="80"/>
      <c r="O40" s="18"/>
    </row>
    <row r="41" spans="1:15" ht="119.25" customHeight="1">
      <c r="A41" s="49">
        <v>31</v>
      </c>
      <c r="B41" s="53"/>
      <c r="C41" s="55"/>
      <c r="D41" s="51"/>
      <c r="E41" s="21"/>
      <c r="F41" s="52"/>
      <c r="G41" s="140" t="s">
        <v>1136</v>
      </c>
      <c r="H41" s="12" t="s">
        <v>1055</v>
      </c>
      <c r="I41" s="38"/>
      <c r="J41" s="13"/>
      <c r="K41" s="138" t="s">
        <v>1119</v>
      </c>
      <c r="L41" s="140" t="s">
        <v>1138</v>
      </c>
      <c r="M41" s="111" t="s">
        <v>74</v>
      </c>
      <c r="N41" s="80"/>
      <c r="O41" s="18"/>
    </row>
    <row r="42" spans="1:15" ht="122.25" customHeight="1">
      <c r="A42" s="49">
        <v>32</v>
      </c>
      <c r="B42" s="53"/>
      <c r="C42" s="55"/>
      <c r="D42" s="51"/>
      <c r="E42" s="22"/>
      <c r="F42" s="52"/>
      <c r="G42" s="140" t="s">
        <v>1139</v>
      </c>
      <c r="H42" s="12" t="s">
        <v>1055</v>
      </c>
      <c r="I42" s="38"/>
      <c r="J42" s="13"/>
      <c r="K42" s="138" t="s">
        <v>1140</v>
      </c>
      <c r="L42" s="141" t="s">
        <v>1141</v>
      </c>
      <c r="M42" s="111" t="s">
        <v>74</v>
      </c>
      <c r="N42" s="80"/>
      <c r="O42" s="18"/>
    </row>
    <row r="43" spans="1:15" ht="144" customHeight="1">
      <c r="A43" s="49">
        <v>33</v>
      </c>
      <c r="B43" s="53"/>
      <c r="C43" s="55"/>
      <c r="D43" s="51"/>
      <c r="E43" s="39"/>
      <c r="F43" s="52"/>
      <c r="G43" s="140" t="s">
        <v>1142</v>
      </c>
      <c r="H43" s="12" t="s">
        <v>1055</v>
      </c>
      <c r="I43" s="38"/>
      <c r="J43" s="13"/>
      <c r="K43" s="138" t="s">
        <v>1143</v>
      </c>
      <c r="L43" s="140" t="s">
        <v>1144</v>
      </c>
      <c r="M43" s="111" t="s">
        <v>74</v>
      </c>
      <c r="N43" s="80"/>
      <c r="O43" s="18"/>
    </row>
    <row r="44" spans="1:15" ht="141" customHeight="1">
      <c r="A44" s="49">
        <v>34</v>
      </c>
      <c r="B44" s="53"/>
      <c r="C44" s="55"/>
      <c r="D44" s="51"/>
      <c r="E44" s="19"/>
      <c r="F44" s="52"/>
      <c r="G44" s="140" t="s">
        <v>1145</v>
      </c>
      <c r="H44" s="12" t="s">
        <v>1055</v>
      </c>
      <c r="I44" s="38"/>
      <c r="J44" s="13"/>
      <c r="K44" s="138" t="s">
        <v>1146</v>
      </c>
      <c r="L44" s="140" t="s">
        <v>1147</v>
      </c>
      <c r="M44" s="111" t="s">
        <v>74</v>
      </c>
      <c r="N44" s="80"/>
      <c r="O44" s="18"/>
    </row>
    <row r="45" spans="1:15" ht="111.75" customHeight="1">
      <c r="A45" s="49">
        <v>35</v>
      </c>
      <c r="B45" s="53"/>
      <c r="C45" s="55"/>
      <c r="D45" s="51"/>
      <c r="E45" s="22"/>
      <c r="F45" s="52"/>
      <c r="G45" s="140" t="s">
        <v>1148</v>
      </c>
      <c r="H45" s="12" t="s">
        <v>1055</v>
      </c>
      <c r="I45" s="38"/>
      <c r="J45" s="13"/>
      <c r="K45" s="138" t="s">
        <v>1149</v>
      </c>
      <c r="L45" s="141" t="s">
        <v>1150</v>
      </c>
      <c r="M45" s="111" t="s">
        <v>74</v>
      </c>
      <c r="N45" s="80"/>
      <c r="O45" s="18"/>
    </row>
    <row r="46" spans="1:15" ht="139.5" customHeight="1">
      <c r="A46" s="49">
        <v>36</v>
      </c>
      <c r="B46" s="53"/>
      <c r="C46" s="55"/>
      <c r="D46" s="51"/>
      <c r="E46" s="19"/>
      <c r="F46" s="52"/>
      <c r="G46" s="140" t="s">
        <v>1151</v>
      </c>
      <c r="H46" s="12" t="s">
        <v>1055</v>
      </c>
      <c r="I46" s="38"/>
      <c r="J46" s="13"/>
      <c r="K46" s="138" t="s">
        <v>1152</v>
      </c>
      <c r="L46" s="140" t="s">
        <v>1153</v>
      </c>
      <c r="M46" s="111" t="s">
        <v>74</v>
      </c>
      <c r="N46" s="80"/>
      <c r="O46" s="18"/>
    </row>
    <row r="47" spans="1:15" ht="144.75" customHeight="1">
      <c r="A47" s="49">
        <v>37</v>
      </c>
      <c r="B47" s="53"/>
      <c r="C47" s="55"/>
      <c r="D47" s="51"/>
      <c r="E47" s="22"/>
      <c r="F47" s="52"/>
      <c r="G47" s="140" t="s">
        <v>1154</v>
      </c>
      <c r="H47" s="12" t="s">
        <v>1055</v>
      </c>
      <c r="I47" s="38"/>
      <c r="J47" s="13"/>
      <c r="K47" s="138" t="s">
        <v>1155</v>
      </c>
      <c r="L47" s="140" t="s">
        <v>1156</v>
      </c>
      <c r="M47" s="111" t="s">
        <v>74</v>
      </c>
      <c r="N47" s="80"/>
      <c r="O47" s="18"/>
    </row>
    <row r="48" spans="1:15" ht="124.5" customHeight="1">
      <c r="A48" s="49">
        <v>38</v>
      </c>
      <c r="B48" s="53"/>
      <c r="C48" s="55"/>
      <c r="D48" s="51"/>
      <c r="E48" s="60"/>
      <c r="F48" s="52"/>
      <c r="G48" s="143" t="s">
        <v>1157</v>
      </c>
      <c r="H48" s="12" t="s">
        <v>1055</v>
      </c>
      <c r="I48" s="38"/>
      <c r="J48" s="13"/>
      <c r="K48" s="139" t="s">
        <v>1158</v>
      </c>
      <c r="L48" s="142" t="s">
        <v>1159</v>
      </c>
      <c r="M48" s="111" t="s">
        <v>74</v>
      </c>
      <c r="N48" s="80"/>
      <c r="O48" s="18"/>
    </row>
    <row r="49" spans="1:15" ht="155.25" customHeight="1">
      <c r="A49" s="49">
        <v>39</v>
      </c>
      <c r="B49" s="61"/>
      <c r="C49" s="55"/>
      <c r="D49" s="128"/>
      <c r="E49" s="48"/>
      <c r="F49" s="84"/>
      <c r="G49" s="140" t="s">
        <v>1160</v>
      </c>
      <c r="H49" s="12" t="s">
        <v>1055</v>
      </c>
      <c r="I49" s="61"/>
      <c r="J49" s="14"/>
      <c r="K49" s="138" t="s">
        <v>1161</v>
      </c>
      <c r="L49" s="140" t="s">
        <v>1162</v>
      </c>
      <c r="M49" s="111" t="s">
        <v>74</v>
      </c>
      <c r="N49" s="80"/>
      <c r="O49" s="18"/>
    </row>
    <row r="50" spans="1:15" ht="201.75">
      <c r="A50" s="49">
        <v>40</v>
      </c>
      <c r="B50" s="14"/>
      <c r="C50" s="119"/>
      <c r="D50" s="14"/>
      <c r="E50" s="19"/>
      <c r="F50" s="17"/>
      <c r="G50" s="140" t="s">
        <v>1163</v>
      </c>
      <c r="H50" s="12" t="s">
        <v>1055</v>
      </c>
      <c r="I50" s="14"/>
      <c r="J50" s="28"/>
      <c r="K50" s="138" t="s">
        <v>1164</v>
      </c>
      <c r="L50" s="140" t="s">
        <v>1165</v>
      </c>
      <c r="M50" s="111" t="s">
        <v>74</v>
      </c>
      <c r="N50" s="80"/>
      <c r="O50" s="18"/>
    </row>
    <row r="51" spans="1:15" ht="130.5">
      <c r="A51" s="49">
        <v>41</v>
      </c>
      <c r="B51" s="14"/>
      <c r="C51" s="119"/>
      <c r="D51" s="14"/>
      <c r="E51" s="19"/>
      <c r="F51" s="17"/>
      <c r="G51" s="143" t="s">
        <v>1166</v>
      </c>
      <c r="H51" s="12" t="s">
        <v>1055</v>
      </c>
      <c r="I51" s="14"/>
      <c r="J51" s="28"/>
      <c r="K51" s="139" t="s">
        <v>1167</v>
      </c>
      <c r="L51" s="142" t="s">
        <v>1168</v>
      </c>
      <c r="M51" s="111" t="s">
        <v>74</v>
      </c>
      <c r="N51" s="80"/>
      <c r="O51" s="18"/>
    </row>
    <row r="52" spans="1:15" ht="174">
      <c r="A52" s="49">
        <v>42</v>
      </c>
      <c r="B52" s="14"/>
      <c r="C52" s="119"/>
      <c r="D52" s="14"/>
      <c r="E52" s="19"/>
      <c r="F52" s="17"/>
      <c r="G52" s="140" t="s">
        <v>1169</v>
      </c>
      <c r="H52" s="12" t="s">
        <v>1055</v>
      </c>
      <c r="I52" s="14"/>
      <c r="J52" s="28"/>
      <c r="K52" s="138" t="s">
        <v>1161</v>
      </c>
      <c r="L52" s="140" t="s">
        <v>1170</v>
      </c>
      <c r="M52" s="111" t="s">
        <v>74</v>
      </c>
      <c r="N52" s="80"/>
      <c r="O52" s="18"/>
    </row>
    <row r="53" spans="1:15" ht="174">
      <c r="A53" s="49">
        <v>43</v>
      </c>
      <c r="B53" s="14"/>
      <c r="C53" s="119"/>
      <c r="D53" s="19"/>
      <c r="E53" s="19"/>
      <c r="F53" s="17"/>
      <c r="G53" s="140" t="s">
        <v>1171</v>
      </c>
      <c r="H53" s="12" t="s">
        <v>1055</v>
      </c>
      <c r="I53" s="14"/>
      <c r="J53" s="28"/>
      <c r="K53" s="138" t="s">
        <v>1164</v>
      </c>
      <c r="L53" s="140" t="s">
        <v>1172</v>
      </c>
      <c r="M53" s="111" t="s">
        <v>74</v>
      </c>
      <c r="N53" s="80"/>
      <c r="O53" s="18"/>
    </row>
    <row r="54" spans="1:15" ht="159">
      <c r="A54" s="49">
        <v>44</v>
      </c>
      <c r="B54" s="14"/>
      <c r="C54" s="119"/>
      <c r="D54" s="14"/>
      <c r="E54" s="19"/>
      <c r="F54" s="17"/>
      <c r="G54" s="143" t="s">
        <v>1173</v>
      </c>
      <c r="H54" s="12" t="s">
        <v>1055</v>
      </c>
      <c r="I54" s="14"/>
      <c r="J54" s="28"/>
      <c r="K54" s="139" t="s">
        <v>1174</v>
      </c>
      <c r="L54" s="142" t="s">
        <v>1175</v>
      </c>
      <c r="M54" s="111" t="s">
        <v>74</v>
      </c>
      <c r="N54" s="80"/>
      <c r="O54" s="18"/>
    </row>
    <row r="55" spans="1:15" ht="188.25">
      <c r="A55" s="49">
        <v>45</v>
      </c>
      <c r="B55" s="14"/>
      <c r="C55" s="119"/>
      <c r="D55" s="14"/>
      <c r="E55" s="62"/>
      <c r="F55" s="17"/>
      <c r="G55" s="140" t="s">
        <v>1176</v>
      </c>
      <c r="H55" s="12" t="s">
        <v>1055</v>
      </c>
      <c r="I55" s="14"/>
      <c r="J55" s="28"/>
      <c r="K55" s="138" t="s">
        <v>1177</v>
      </c>
      <c r="L55" s="140" t="s">
        <v>1178</v>
      </c>
      <c r="M55" s="111" t="s">
        <v>74</v>
      </c>
      <c r="N55" s="80"/>
      <c r="O55" s="18"/>
    </row>
    <row r="56" spans="1:15" ht="159" customHeight="1">
      <c r="A56" s="49">
        <v>46</v>
      </c>
      <c r="B56" s="14"/>
      <c r="C56" s="119"/>
      <c r="D56" s="14"/>
      <c r="E56" s="62"/>
      <c r="F56" s="17"/>
      <c r="G56" s="140" t="s">
        <v>1179</v>
      </c>
      <c r="H56" s="12" t="s">
        <v>1055</v>
      </c>
      <c r="I56" s="14"/>
      <c r="J56" s="28"/>
      <c r="K56" s="138" t="s">
        <v>1180</v>
      </c>
      <c r="L56" s="140" t="s">
        <v>1181</v>
      </c>
      <c r="M56" s="111" t="s">
        <v>74</v>
      </c>
      <c r="N56" s="80"/>
      <c r="O56" s="18"/>
    </row>
    <row r="57" spans="1:15" ht="85.5" customHeight="1">
      <c r="A57" s="49">
        <v>47</v>
      </c>
      <c r="B57" s="14"/>
      <c r="C57" s="119"/>
      <c r="D57" s="14"/>
      <c r="E57" s="62"/>
      <c r="F57" s="17"/>
      <c r="G57" s="140" t="s">
        <v>1182</v>
      </c>
      <c r="H57" s="12" t="s">
        <v>1055</v>
      </c>
      <c r="I57" s="14"/>
      <c r="J57" s="28"/>
      <c r="K57" s="138" t="s">
        <v>1183</v>
      </c>
      <c r="L57" s="141" t="s">
        <v>1184</v>
      </c>
      <c r="M57" s="111" t="s">
        <v>74</v>
      </c>
      <c r="N57" s="80"/>
      <c r="O57" s="18"/>
    </row>
    <row r="58" spans="1:15" ht="109.5" customHeight="1">
      <c r="A58" s="49">
        <v>48</v>
      </c>
      <c r="B58" s="14"/>
      <c r="C58" s="119"/>
      <c r="D58" s="14"/>
      <c r="E58" s="62"/>
      <c r="F58" s="17"/>
      <c r="G58" s="140" t="s">
        <v>1185</v>
      </c>
      <c r="H58" s="12" t="s">
        <v>1055</v>
      </c>
      <c r="I58" s="14"/>
      <c r="J58" s="28"/>
      <c r="K58" s="138" t="s">
        <v>1186</v>
      </c>
      <c r="L58" s="140" t="s">
        <v>1187</v>
      </c>
      <c r="M58" s="111" t="s">
        <v>74</v>
      </c>
      <c r="N58" s="80"/>
      <c r="O58" s="18"/>
    </row>
    <row r="59" spans="1:15" ht="109.5" customHeight="1">
      <c r="A59" s="49">
        <v>49</v>
      </c>
      <c r="B59" s="14"/>
      <c r="C59" s="119"/>
      <c r="D59" s="14"/>
      <c r="E59" s="19"/>
      <c r="F59" s="17"/>
      <c r="G59" s="140" t="s">
        <v>1188</v>
      </c>
      <c r="H59" s="12" t="s">
        <v>1055</v>
      </c>
      <c r="I59" s="14"/>
      <c r="J59" s="28"/>
      <c r="K59" s="138" t="s">
        <v>1189</v>
      </c>
      <c r="L59" s="140" t="s">
        <v>1190</v>
      </c>
      <c r="M59" s="111" t="s">
        <v>74</v>
      </c>
      <c r="N59" s="80"/>
      <c r="O59" s="18"/>
    </row>
    <row r="60" spans="1:15" ht="79.5" customHeight="1">
      <c r="A60" s="49">
        <v>50</v>
      </c>
      <c r="B60" s="14"/>
      <c r="C60" s="119"/>
      <c r="D60" s="126"/>
      <c r="E60" s="19"/>
      <c r="F60" s="17"/>
      <c r="G60" s="140" t="s">
        <v>1191</v>
      </c>
      <c r="H60" s="12" t="s">
        <v>1055</v>
      </c>
      <c r="I60" s="13"/>
      <c r="J60" s="38"/>
      <c r="K60" s="138" t="s">
        <v>1192</v>
      </c>
      <c r="L60" s="141" t="s">
        <v>1193</v>
      </c>
      <c r="M60" s="111" t="s">
        <v>74</v>
      </c>
      <c r="N60" s="80"/>
      <c r="O60" s="18"/>
    </row>
    <row r="61" spans="1:15" ht="112.5" customHeight="1">
      <c r="A61" s="49">
        <v>51</v>
      </c>
      <c r="B61" s="14"/>
      <c r="C61" s="119"/>
      <c r="D61" s="14"/>
      <c r="E61" s="19"/>
      <c r="F61" s="17"/>
      <c r="G61" s="140" t="s">
        <v>1194</v>
      </c>
      <c r="H61" s="12" t="s">
        <v>1055</v>
      </c>
      <c r="I61" s="14"/>
      <c r="J61" s="28"/>
      <c r="K61" s="138" t="s">
        <v>1195</v>
      </c>
      <c r="L61" s="140" t="s">
        <v>1196</v>
      </c>
      <c r="M61" s="111" t="s">
        <v>74</v>
      </c>
      <c r="N61" s="80"/>
      <c r="O61" s="18"/>
    </row>
    <row r="62" spans="1:15" ht="108" customHeight="1">
      <c r="A62" s="49">
        <v>52</v>
      </c>
      <c r="B62" s="14"/>
      <c r="C62" s="68"/>
      <c r="D62" s="14"/>
      <c r="E62" s="19"/>
      <c r="F62" s="17"/>
      <c r="G62" s="140" t="s">
        <v>1197</v>
      </c>
      <c r="H62" s="12" t="s">
        <v>1055</v>
      </c>
      <c r="I62" s="14"/>
      <c r="J62" s="28"/>
      <c r="K62" s="138" t="s">
        <v>1198</v>
      </c>
      <c r="L62" s="140" t="s">
        <v>1199</v>
      </c>
      <c r="M62" s="111" t="s">
        <v>74</v>
      </c>
      <c r="N62" s="80"/>
      <c r="O62" s="18"/>
    </row>
    <row r="63" spans="1:15" ht="78.75" customHeight="1">
      <c r="A63" s="49">
        <v>53</v>
      </c>
      <c r="B63" s="14"/>
      <c r="C63" s="68"/>
      <c r="D63" s="14"/>
      <c r="E63" s="19"/>
      <c r="F63" s="17"/>
      <c r="G63" s="140" t="s">
        <v>1200</v>
      </c>
      <c r="H63" s="12" t="s">
        <v>1055</v>
      </c>
      <c r="I63" s="14"/>
      <c r="J63" s="28"/>
      <c r="K63" s="138" t="s">
        <v>1201</v>
      </c>
      <c r="L63" s="141" t="s">
        <v>1202</v>
      </c>
      <c r="M63" s="111" t="s">
        <v>74</v>
      </c>
      <c r="N63" s="80"/>
      <c r="O63" s="18"/>
    </row>
    <row r="64" spans="1:15" ht="112.5" customHeight="1">
      <c r="A64" s="49">
        <v>54</v>
      </c>
      <c r="B64" s="14"/>
      <c r="C64" s="68"/>
      <c r="D64" s="14"/>
      <c r="E64" s="19"/>
      <c r="F64" s="17"/>
      <c r="G64" s="140" t="s">
        <v>1203</v>
      </c>
      <c r="H64" s="12" t="s">
        <v>1055</v>
      </c>
      <c r="I64" s="14"/>
      <c r="J64" s="28"/>
      <c r="K64" s="138" t="s">
        <v>1204</v>
      </c>
      <c r="L64" s="140" t="s">
        <v>1205</v>
      </c>
      <c r="M64" s="111" t="s">
        <v>74</v>
      </c>
      <c r="N64" s="80"/>
      <c r="O64" s="18"/>
    </row>
    <row r="65" spans="1:15" ht="114.75" customHeight="1">
      <c r="A65" s="49">
        <v>55</v>
      </c>
      <c r="B65" s="61"/>
      <c r="C65" s="120"/>
      <c r="D65" s="61"/>
      <c r="E65" s="39"/>
      <c r="F65" s="131"/>
      <c r="G65" s="140" t="s">
        <v>1206</v>
      </c>
      <c r="H65" s="12" t="s">
        <v>1055</v>
      </c>
      <c r="I65" s="61"/>
      <c r="J65" s="47"/>
      <c r="K65" s="138" t="s">
        <v>1207</v>
      </c>
      <c r="L65" s="140" t="s">
        <v>1208</v>
      </c>
      <c r="M65" s="111" t="s">
        <v>74</v>
      </c>
      <c r="N65" s="121"/>
      <c r="O65" s="82"/>
    </row>
    <row r="66" spans="1:15" s="18" customFormat="1" ht="77.25" customHeight="1">
      <c r="A66" s="49">
        <v>56</v>
      </c>
      <c r="B66" s="135"/>
      <c r="C66" s="133"/>
      <c r="D66" s="14"/>
      <c r="E66" s="19"/>
      <c r="F66" s="52"/>
      <c r="G66" s="140" t="s">
        <v>1209</v>
      </c>
      <c r="H66" s="12" t="s">
        <v>1055</v>
      </c>
      <c r="I66" s="14"/>
      <c r="J66" s="14"/>
      <c r="K66" s="138" t="s">
        <v>1210</v>
      </c>
      <c r="L66" s="141" t="s">
        <v>1211</v>
      </c>
      <c r="M66" s="111" t="s">
        <v>74</v>
      </c>
      <c r="O66" s="129"/>
    </row>
    <row r="67" spans="1:15" s="18" customFormat="1" ht="110.25" customHeight="1">
      <c r="A67" s="49">
        <v>57</v>
      </c>
      <c r="B67" s="135"/>
      <c r="C67" s="134"/>
      <c r="D67" s="14"/>
      <c r="E67" s="19"/>
      <c r="F67" s="52"/>
      <c r="G67" s="140" t="s">
        <v>1212</v>
      </c>
      <c r="H67" s="12" t="s">
        <v>1055</v>
      </c>
      <c r="I67" s="14"/>
      <c r="J67" s="14"/>
      <c r="K67" s="138" t="s">
        <v>1213</v>
      </c>
      <c r="L67" s="140" t="s">
        <v>1214</v>
      </c>
      <c r="M67" s="111" t="s">
        <v>74</v>
      </c>
      <c r="O67" s="129"/>
    </row>
    <row r="68" spans="1:15" ht="111.75" customHeight="1">
      <c r="A68" s="49">
        <v>58</v>
      </c>
      <c r="B68" s="53"/>
      <c r="C68" s="132"/>
      <c r="D68" s="53"/>
      <c r="E68" s="124"/>
      <c r="F68" s="17"/>
      <c r="G68" s="140" t="s">
        <v>1215</v>
      </c>
      <c r="H68" s="12" t="s">
        <v>1055</v>
      </c>
      <c r="I68" s="14"/>
      <c r="J68" s="14"/>
      <c r="K68" s="138" t="s">
        <v>1216</v>
      </c>
      <c r="L68" s="140" t="s">
        <v>1217</v>
      </c>
      <c r="M68" s="111" t="s">
        <v>74</v>
      </c>
      <c r="N68" s="18"/>
      <c r="O68" s="130"/>
    </row>
    <row r="69" spans="1:15" ht="43.5">
      <c r="A69" s="49">
        <v>59</v>
      </c>
      <c r="B69" s="14"/>
      <c r="C69" s="119"/>
      <c r="D69" s="14"/>
      <c r="E69" s="19"/>
      <c r="F69" s="17"/>
      <c r="G69" s="140" t="s">
        <v>1218</v>
      </c>
      <c r="H69" s="12" t="s">
        <v>1055</v>
      </c>
      <c r="I69" s="14"/>
      <c r="J69" s="14"/>
      <c r="K69" s="138" t="s">
        <v>1219</v>
      </c>
      <c r="L69" s="140" t="s">
        <v>1220</v>
      </c>
      <c r="M69" s="111" t="s">
        <v>74</v>
      </c>
      <c r="N69" s="18"/>
      <c r="O69" s="129"/>
    </row>
    <row r="70" spans="1:15" ht="43.5">
      <c r="A70" s="49">
        <v>60</v>
      </c>
      <c r="B70" s="53"/>
      <c r="C70" s="132"/>
      <c r="D70" s="53"/>
      <c r="E70" s="124"/>
      <c r="F70" s="21"/>
      <c r="G70" s="140" t="s">
        <v>1221</v>
      </c>
      <c r="H70" s="12" t="s">
        <v>1055</v>
      </c>
      <c r="I70" s="53"/>
      <c r="J70" s="127"/>
      <c r="K70" s="138" t="s">
        <v>1222</v>
      </c>
      <c r="L70" s="140" t="s">
        <v>1223</v>
      </c>
      <c r="M70" s="111" t="s">
        <v>74</v>
      </c>
      <c r="N70" s="125"/>
      <c r="O70" s="18"/>
    </row>
    <row r="71" spans="1:15" ht="43.5">
      <c r="A71" s="49">
        <v>61</v>
      </c>
      <c r="B71" s="14"/>
      <c r="C71" s="119"/>
      <c r="D71" s="14"/>
      <c r="E71" s="19"/>
      <c r="F71" s="17"/>
      <c r="G71" s="140" t="s">
        <v>1224</v>
      </c>
      <c r="H71" s="12" t="s">
        <v>1055</v>
      </c>
      <c r="I71" s="14"/>
      <c r="J71" s="28"/>
      <c r="K71" s="138" t="s">
        <v>1225</v>
      </c>
      <c r="L71" s="140" t="s">
        <v>1226</v>
      </c>
      <c r="M71" s="111" t="s">
        <v>74</v>
      </c>
      <c r="N71" s="80"/>
      <c r="O71" s="18"/>
    </row>
    <row r="72" spans="1:15" ht="57.75">
      <c r="A72" s="49">
        <v>62</v>
      </c>
      <c r="B72" s="14"/>
      <c r="C72" s="119"/>
      <c r="D72" s="14"/>
      <c r="E72" s="19"/>
      <c r="F72" s="17"/>
      <c r="G72" s="140" t="s">
        <v>1227</v>
      </c>
      <c r="H72" s="12" t="s">
        <v>1055</v>
      </c>
      <c r="I72" s="14"/>
      <c r="J72" s="28"/>
      <c r="K72" s="138" t="s">
        <v>1228</v>
      </c>
      <c r="L72" s="140" t="s">
        <v>1229</v>
      </c>
      <c r="M72" s="111" t="s">
        <v>74</v>
      </c>
      <c r="N72" s="80"/>
      <c r="O72" s="18"/>
    </row>
    <row r="73" spans="1:15" ht="43.5">
      <c r="A73" s="49">
        <v>63</v>
      </c>
      <c r="B73" s="14"/>
      <c r="C73" s="119"/>
      <c r="D73" s="14"/>
      <c r="E73" s="19"/>
      <c r="F73" s="17"/>
      <c r="G73" s="140" t="s">
        <v>1230</v>
      </c>
      <c r="H73" s="12" t="s">
        <v>1055</v>
      </c>
      <c r="I73" s="14"/>
      <c r="J73" s="28"/>
      <c r="K73" s="138" t="s">
        <v>1231</v>
      </c>
      <c r="L73" s="140" t="s">
        <v>1232</v>
      </c>
      <c r="M73" s="111" t="s">
        <v>74</v>
      </c>
      <c r="N73" s="80"/>
      <c r="O73" s="18"/>
    </row>
    <row r="74" spans="1:15" ht="174">
      <c r="A74" s="49">
        <v>64</v>
      </c>
      <c r="B74" s="66"/>
      <c r="C74" s="122"/>
      <c r="D74" s="66"/>
      <c r="E74" s="124"/>
      <c r="F74" s="123"/>
      <c r="G74" s="140" t="s">
        <v>1233</v>
      </c>
      <c r="H74" s="12" t="s">
        <v>1055</v>
      </c>
      <c r="I74" s="53"/>
      <c r="J74" s="14"/>
      <c r="K74" s="138" t="s">
        <v>1234</v>
      </c>
      <c r="L74" s="140" t="s">
        <v>1235</v>
      </c>
      <c r="M74" s="111" t="s">
        <v>74</v>
      </c>
      <c r="N74" s="80"/>
      <c r="O74" s="18"/>
    </row>
    <row r="75" spans="1:15" ht="87">
      <c r="A75" s="49">
        <v>65</v>
      </c>
      <c r="B75" s="66"/>
      <c r="C75" s="55"/>
      <c r="D75" s="45"/>
      <c r="E75" s="39"/>
      <c r="F75" s="52"/>
      <c r="G75" s="140" t="s">
        <v>1236</v>
      </c>
      <c r="H75" s="12" t="s">
        <v>1055</v>
      </c>
      <c r="I75" s="14"/>
      <c r="J75" s="14"/>
      <c r="K75" s="138" t="s">
        <v>1237</v>
      </c>
      <c r="L75" s="140" t="s">
        <v>1238</v>
      </c>
      <c r="M75" s="111" t="s">
        <v>74</v>
      </c>
      <c r="N75" s="80"/>
      <c r="O75" s="18"/>
    </row>
    <row r="76" spans="1:15" ht="87">
      <c r="A76" s="49">
        <v>66</v>
      </c>
      <c r="B76" s="66"/>
      <c r="C76" s="55"/>
      <c r="D76" s="45"/>
      <c r="E76" s="19"/>
      <c r="F76" s="52"/>
      <c r="G76" s="140" t="s">
        <v>1239</v>
      </c>
      <c r="H76" s="12" t="s">
        <v>1055</v>
      </c>
      <c r="I76" s="14"/>
      <c r="J76" s="14"/>
      <c r="K76" s="138" t="s">
        <v>1240</v>
      </c>
      <c r="L76" s="140" t="s">
        <v>1241</v>
      </c>
      <c r="M76" s="111" t="s">
        <v>74</v>
      </c>
      <c r="N76" s="80"/>
      <c r="O76" s="18"/>
    </row>
    <row r="77" spans="1:15" ht="87">
      <c r="A77" s="49">
        <v>67</v>
      </c>
      <c r="B77" s="66"/>
      <c r="C77" s="55"/>
      <c r="D77" s="14"/>
      <c r="E77" s="46"/>
      <c r="F77" s="52"/>
      <c r="G77" s="140" t="s">
        <v>1242</v>
      </c>
      <c r="H77" s="12" t="s">
        <v>1055</v>
      </c>
      <c r="I77" s="14"/>
      <c r="J77" s="14"/>
      <c r="K77" s="138" t="s">
        <v>1243</v>
      </c>
      <c r="L77" s="140" t="s">
        <v>1244</v>
      </c>
      <c r="M77" s="111" t="s">
        <v>74</v>
      </c>
      <c r="N77" s="80"/>
      <c r="O77" s="18"/>
    </row>
    <row r="78" spans="1:15" ht="43.5">
      <c r="A78" s="49">
        <v>68</v>
      </c>
      <c r="B78" s="66"/>
      <c r="C78" s="55"/>
      <c r="D78" s="45"/>
      <c r="E78" s="39"/>
      <c r="F78" s="52"/>
      <c r="G78" s="140" t="s">
        <v>1245</v>
      </c>
      <c r="H78" s="12" t="s">
        <v>1055</v>
      </c>
      <c r="I78" s="14"/>
      <c r="J78" s="14"/>
      <c r="K78" s="138" t="s">
        <v>1246</v>
      </c>
      <c r="L78" s="140" t="s">
        <v>1247</v>
      </c>
      <c r="M78" s="111" t="s">
        <v>74</v>
      </c>
      <c r="N78" s="80"/>
      <c r="O78" s="18"/>
    </row>
    <row r="79" spans="1:15" ht="87">
      <c r="A79" s="49">
        <v>69</v>
      </c>
      <c r="B79" s="66"/>
      <c r="C79" s="55"/>
      <c r="D79" s="45"/>
      <c r="E79" s="39"/>
      <c r="F79" s="52"/>
      <c r="G79" s="140" t="s">
        <v>1248</v>
      </c>
      <c r="H79" s="12" t="s">
        <v>1055</v>
      </c>
      <c r="I79" s="14"/>
      <c r="J79" s="14"/>
      <c r="K79" s="138" t="s">
        <v>1249</v>
      </c>
      <c r="L79" s="140" t="s">
        <v>1250</v>
      </c>
      <c r="M79" s="111" t="s">
        <v>74</v>
      </c>
      <c r="N79" s="80"/>
      <c r="O79" s="18"/>
    </row>
    <row r="80" spans="1:15" ht="87">
      <c r="A80" s="49">
        <v>70</v>
      </c>
      <c r="B80" s="66"/>
      <c r="C80" s="55"/>
      <c r="D80" s="45"/>
      <c r="E80" s="19"/>
      <c r="F80" s="52"/>
      <c r="G80" s="140" t="s">
        <v>1251</v>
      </c>
      <c r="H80" s="12" t="s">
        <v>1055</v>
      </c>
      <c r="I80" s="14"/>
      <c r="J80" s="14"/>
      <c r="K80" s="138" t="s">
        <v>1252</v>
      </c>
      <c r="L80" s="140" t="s">
        <v>1253</v>
      </c>
      <c r="M80" s="111" t="s">
        <v>74</v>
      </c>
      <c r="N80" s="80"/>
      <c r="O80" s="18"/>
    </row>
    <row r="81" spans="1:15" ht="87">
      <c r="A81" s="49">
        <v>71</v>
      </c>
      <c r="B81" s="66"/>
      <c r="C81" s="55"/>
      <c r="D81" s="45"/>
      <c r="E81" s="19"/>
      <c r="F81" s="52"/>
      <c r="G81" s="140" t="s">
        <v>1254</v>
      </c>
      <c r="H81" s="12" t="s">
        <v>1055</v>
      </c>
      <c r="I81" s="14"/>
      <c r="J81" s="14"/>
      <c r="K81" s="138" t="s">
        <v>1255</v>
      </c>
      <c r="L81" s="140" t="s">
        <v>1253</v>
      </c>
      <c r="M81" s="111" t="s">
        <v>74</v>
      </c>
      <c r="N81" s="80"/>
      <c r="O81" s="18"/>
    </row>
    <row r="82" spans="1:15" ht="57.75">
      <c r="A82" s="49">
        <v>72</v>
      </c>
      <c r="B82" s="66"/>
      <c r="C82" s="55"/>
      <c r="D82" s="45"/>
      <c r="E82" s="19"/>
      <c r="F82" s="52"/>
      <c r="G82" s="140" t="s">
        <v>1256</v>
      </c>
      <c r="H82" s="12" t="s">
        <v>1055</v>
      </c>
      <c r="I82" s="14"/>
      <c r="J82" s="14"/>
      <c r="K82" s="138" t="s">
        <v>1257</v>
      </c>
      <c r="L82" s="140" t="s">
        <v>1258</v>
      </c>
      <c r="M82" s="111" t="s">
        <v>74</v>
      </c>
      <c r="N82" s="80"/>
      <c r="O82" s="18"/>
    </row>
    <row r="83" spans="1:15" ht="159">
      <c r="A83" s="49">
        <v>73</v>
      </c>
      <c r="B83" s="66"/>
      <c r="C83" s="55"/>
      <c r="D83" s="45"/>
      <c r="E83" s="19"/>
      <c r="F83" s="52"/>
      <c r="G83" s="140" t="s">
        <v>1259</v>
      </c>
      <c r="H83" s="12" t="s">
        <v>1055</v>
      </c>
      <c r="I83" s="14"/>
      <c r="J83" s="14"/>
      <c r="K83" s="138" t="s">
        <v>1260</v>
      </c>
      <c r="L83" s="141" t="s">
        <v>1261</v>
      </c>
      <c r="M83" s="111" t="s">
        <v>74</v>
      </c>
      <c r="N83" s="80"/>
      <c r="O83" s="18"/>
    </row>
    <row r="84" spans="1:15" ht="144.75">
      <c r="A84" s="49">
        <v>74</v>
      </c>
      <c r="B84" s="66"/>
      <c r="C84" s="55"/>
      <c r="D84" s="45"/>
      <c r="E84" s="19"/>
      <c r="F84" s="52"/>
      <c r="G84" s="143" t="s">
        <v>1262</v>
      </c>
      <c r="H84" s="12" t="s">
        <v>1055</v>
      </c>
      <c r="I84" s="14"/>
      <c r="J84" s="14"/>
      <c r="K84" s="139" t="s">
        <v>1174</v>
      </c>
      <c r="L84" s="142" t="s">
        <v>1263</v>
      </c>
      <c r="M84" s="111" t="s">
        <v>74</v>
      </c>
      <c r="N84" s="80"/>
      <c r="O84" s="18"/>
    </row>
    <row r="85" spans="1:15" ht="87">
      <c r="A85" s="49">
        <v>75</v>
      </c>
      <c r="B85" s="66"/>
      <c r="C85" s="55"/>
      <c r="D85" s="45"/>
      <c r="E85" s="136"/>
      <c r="F85" s="84"/>
      <c r="G85" s="140" t="s">
        <v>1264</v>
      </c>
      <c r="H85" s="12" t="s">
        <v>1055</v>
      </c>
      <c r="I85" s="14"/>
      <c r="J85" s="14"/>
      <c r="K85" s="139" t="s">
        <v>1265</v>
      </c>
      <c r="L85" s="140" t="s">
        <v>1266</v>
      </c>
      <c r="M85" s="111" t="s">
        <v>74</v>
      </c>
      <c r="N85" s="80"/>
      <c r="O85" s="18"/>
    </row>
    <row r="86" spans="1:15">
      <c r="A86" s="54"/>
      <c r="B86" s="66"/>
      <c r="C86" s="55"/>
      <c r="D86" s="45"/>
      <c r="E86" s="70"/>
      <c r="F86" s="17"/>
      <c r="G86" s="83"/>
      <c r="H86" s="47"/>
      <c r="I86" s="14"/>
      <c r="J86" s="14"/>
      <c r="K86" s="13"/>
      <c r="L86" s="19"/>
      <c r="M86" s="111"/>
      <c r="N86" s="80"/>
      <c r="O86" s="82"/>
    </row>
    <row r="87" spans="1:15">
      <c r="A87" s="54"/>
      <c r="B87" s="14"/>
      <c r="C87" s="13"/>
      <c r="D87" s="14"/>
      <c r="E87" s="53"/>
      <c r="F87" s="53"/>
      <c r="G87" s="53"/>
      <c r="H87" s="14"/>
      <c r="I87" s="14"/>
      <c r="J87" s="14"/>
      <c r="K87" s="14"/>
      <c r="L87" s="14"/>
      <c r="M87" s="112"/>
      <c r="N87" s="80"/>
      <c r="O87" s="18"/>
    </row>
    <row r="88" spans="1:15">
      <c r="A88" s="14"/>
      <c r="B88" s="14"/>
      <c r="C88" s="14"/>
      <c r="D88" s="14"/>
      <c r="E88" s="14"/>
      <c r="F88" s="14"/>
      <c r="G88" s="14"/>
      <c r="H88" s="14"/>
      <c r="I88" s="14"/>
      <c r="J88" s="14"/>
      <c r="K88" s="14"/>
      <c r="L88" s="14"/>
      <c r="M88" s="112"/>
      <c r="N88" s="80"/>
      <c r="O88" s="18"/>
    </row>
    <row r="89" spans="1:15">
      <c r="A89" s="14"/>
      <c r="B89" s="14"/>
      <c r="C89" s="14"/>
      <c r="D89" s="14"/>
      <c r="E89" s="14"/>
      <c r="F89" s="14"/>
      <c r="G89" s="14"/>
      <c r="H89" s="14"/>
      <c r="I89" s="14"/>
      <c r="J89" s="14"/>
      <c r="K89" s="14"/>
      <c r="L89" s="14"/>
      <c r="M89" s="112"/>
      <c r="N89" s="80"/>
      <c r="O89" s="18"/>
    </row>
    <row r="90" spans="1:15">
      <c r="A90" s="14"/>
      <c r="B90" s="14"/>
      <c r="C90" s="14"/>
      <c r="D90" s="14"/>
      <c r="E90" s="14"/>
      <c r="F90" s="14"/>
      <c r="G90" s="14"/>
      <c r="H90" s="14"/>
      <c r="I90" s="14"/>
      <c r="J90" s="14"/>
      <c r="K90" s="14"/>
      <c r="L90" s="14"/>
      <c r="M90" s="112"/>
      <c r="N90" s="80"/>
      <c r="O90" s="18"/>
    </row>
    <row r="91" spans="1:15">
      <c r="A91" s="14"/>
      <c r="B91" s="14"/>
      <c r="C91" s="14"/>
      <c r="D91" s="14"/>
      <c r="E91" s="14"/>
      <c r="F91" s="14"/>
      <c r="G91" s="14"/>
      <c r="H91" s="14"/>
      <c r="I91" s="14"/>
      <c r="J91" s="14"/>
      <c r="K91" s="14"/>
      <c r="L91" s="14"/>
      <c r="M91" s="112"/>
      <c r="N91" s="80"/>
      <c r="O91" s="18"/>
    </row>
    <row r="92" spans="1:15">
      <c r="A92" s="14"/>
      <c r="B92" s="14"/>
      <c r="C92" s="14"/>
      <c r="D92" s="14"/>
      <c r="E92" s="14"/>
      <c r="F92" s="14"/>
      <c r="G92" s="14"/>
      <c r="H92" s="14"/>
      <c r="I92" s="14"/>
      <c r="J92" s="14"/>
      <c r="K92" s="14"/>
      <c r="L92" s="14"/>
      <c r="M92" s="112"/>
      <c r="N92" s="80"/>
      <c r="O92" s="18"/>
    </row>
    <row r="93" spans="1:15">
      <c r="A93" s="14"/>
      <c r="B93" s="14"/>
      <c r="C93" s="14"/>
      <c r="D93" s="14"/>
      <c r="E93" s="14"/>
      <c r="F93" s="14"/>
      <c r="G93" s="14"/>
      <c r="H93" s="14"/>
      <c r="I93" s="14"/>
      <c r="J93" s="14"/>
      <c r="K93" s="14"/>
      <c r="L93" s="14"/>
      <c r="M93" s="112"/>
      <c r="N93" s="80"/>
      <c r="O93" s="18"/>
    </row>
    <row r="94" spans="1:15">
      <c r="A94" s="14"/>
      <c r="B94" s="14"/>
      <c r="C94" s="14"/>
      <c r="D94" s="14"/>
      <c r="E94" s="14"/>
      <c r="F94" s="14"/>
      <c r="G94" s="14"/>
      <c r="H94" s="14"/>
      <c r="I94" s="14"/>
      <c r="J94" s="14"/>
      <c r="K94" s="14"/>
      <c r="L94" s="14"/>
      <c r="M94" s="112"/>
      <c r="N94" s="80"/>
      <c r="O94" s="18"/>
    </row>
    <row r="95" spans="1:15">
      <c r="A95" s="14"/>
      <c r="B95" s="14"/>
      <c r="C95" s="14"/>
      <c r="D95" s="14"/>
      <c r="E95" s="14"/>
      <c r="F95" s="14"/>
      <c r="G95" s="14"/>
      <c r="H95" s="14"/>
      <c r="I95" s="14"/>
      <c r="J95" s="14"/>
      <c r="K95" s="14"/>
      <c r="L95" s="14"/>
      <c r="M95" s="112"/>
      <c r="N95" s="80"/>
      <c r="O95" s="18"/>
    </row>
    <row r="96" spans="1:15">
      <c r="A96" s="14"/>
      <c r="B96" s="14"/>
      <c r="C96" s="14"/>
      <c r="D96" s="14"/>
      <c r="E96" s="14"/>
      <c r="F96" s="14"/>
      <c r="G96" s="14"/>
      <c r="H96" s="14"/>
      <c r="I96" s="14"/>
      <c r="J96" s="14"/>
      <c r="K96" s="14"/>
      <c r="L96" s="14"/>
      <c r="M96" s="112"/>
      <c r="N96" s="80"/>
      <c r="O96" s="18"/>
    </row>
    <row r="97" spans="1:15">
      <c r="A97" s="14"/>
      <c r="B97" s="14"/>
      <c r="C97" s="14"/>
      <c r="D97" s="14"/>
      <c r="E97" s="14"/>
      <c r="F97" s="14"/>
      <c r="G97" s="14"/>
      <c r="H97" s="14"/>
      <c r="I97" s="14"/>
      <c r="J97" s="14"/>
      <c r="K97" s="14"/>
      <c r="L97" s="14"/>
      <c r="M97" s="112"/>
      <c r="N97" s="80"/>
      <c r="O97" s="18"/>
    </row>
    <row r="98" spans="1:15">
      <c r="A98" s="14"/>
      <c r="B98" s="14"/>
      <c r="C98" s="14"/>
      <c r="D98" s="14"/>
      <c r="E98" s="14"/>
      <c r="F98" s="14"/>
      <c r="G98" s="14"/>
      <c r="H98" s="14"/>
      <c r="I98" s="14"/>
      <c r="J98" s="14"/>
      <c r="K98" s="14"/>
      <c r="L98" s="14"/>
      <c r="M98" s="112"/>
      <c r="N98" s="80"/>
      <c r="O98" s="18"/>
    </row>
    <row r="99" spans="1:15">
      <c r="A99" s="14"/>
      <c r="B99" s="14"/>
      <c r="C99" s="14"/>
      <c r="D99" s="14"/>
      <c r="E99" s="14"/>
      <c r="F99" s="14"/>
      <c r="G99" s="14"/>
      <c r="H99" s="14"/>
      <c r="I99" s="14"/>
      <c r="J99" s="14"/>
      <c r="K99" s="14"/>
      <c r="L99" s="14"/>
      <c r="M99" s="112"/>
      <c r="N99" s="80"/>
      <c r="O99" s="18"/>
    </row>
    <row r="100" spans="1:15">
      <c r="A100" s="14"/>
      <c r="B100" s="14"/>
      <c r="C100" s="14"/>
      <c r="D100" s="14"/>
      <c r="E100" s="14"/>
      <c r="F100" s="14"/>
      <c r="G100" s="14"/>
      <c r="H100" s="14"/>
      <c r="I100" s="14"/>
      <c r="J100" s="14"/>
      <c r="K100" s="14"/>
      <c r="L100" s="14"/>
      <c r="M100" s="112"/>
      <c r="N100" s="80"/>
      <c r="O100" s="18"/>
    </row>
    <row r="101" spans="1:15">
      <c r="A101" s="14"/>
      <c r="B101" s="14"/>
      <c r="C101" s="14"/>
      <c r="D101" s="14"/>
      <c r="E101" s="14"/>
      <c r="F101" s="14"/>
      <c r="G101" s="14"/>
      <c r="H101" s="14"/>
      <c r="I101" s="14"/>
      <c r="J101" s="14"/>
      <c r="K101" s="14"/>
      <c r="L101" s="14"/>
      <c r="M101" s="112"/>
      <c r="N101" s="80"/>
      <c r="O101" s="18"/>
    </row>
    <row r="102" spans="1:15">
      <c r="A102" s="14"/>
      <c r="B102" s="14"/>
      <c r="C102" s="14"/>
      <c r="D102" s="14"/>
      <c r="E102" s="14"/>
      <c r="F102" s="14"/>
      <c r="G102" s="14"/>
      <c r="H102" s="14"/>
      <c r="I102" s="14"/>
      <c r="J102" s="14"/>
      <c r="K102" s="14"/>
      <c r="L102" s="14"/>
      <c r="M102" s="112"/>
      <c r="N102" s="80"/>
      <c r="O102" s="18"/>
    </row>
    <row r="103" spans="1:15">
      <c r="A103" s="14"/>
      <c r="B103" s="14"/>
      <c r="C103" s="14"/>
      <c r="D103" s="14"/>
      <c r="E103" s="14"/>
      <c r="F103" s="14"/>
      <c r="G103" s="14"/>
      <c r="H103" s="14"/>
      <c r="I103" s="14"/>
      <c r="J103" s="14"/>
      <c r="K103" s="14"/>
      <c r="L103" s="14"/>
      <c r="M103" s="112"/>
      <c r="N103" s="18"/>
    </row>
    <row r="104" spans="1:15">
      <c r="A104" s="14"/>
      <c r="B104" s="14"/>
      <c r="C104" s="14"/>
      <c r="D104" s="14"/>
      <c r="E104" s="14"/>
      <c r="F104" s="14"/>
      <c r="G104" s="14"/>
      <c r="H104" s="14"/>
      <c r="I104" s="14"/>
      <c r="J104" s="14"/>
      <c r="K104" s="14"/>
      <c r="L104" s="14"/>
      <c r="M104" s="112"/>
      <c r="N104" s="18"/>
    </row>
    <row r="105" spans="1:15">
      <c r="A105" s="14"/>
      <c r="B105" s="14"/>
      <c r="C105" s="14"/>
      <c r="D105" s="14"/>
      <c r="E105" s="14"/>
      <c r="F105" s="14"/>
      <c r="G105" s="14"/>
      <c r="H105" s="14"/>
      <c r="I105" s="14"/>
      <c r="J105" s="14"/>
      <c r="K105" s="14"/>
      <c r="L105" s="14"/>
      <c r="M105" s="112"/>
      <c r="N105" s="18"/>
    </row>
    <row r="106" spans="1:15">
      <c r="A106" s="14"/>
      <c r="B106" s="14"/>
      <c r="C106" s="14"/>
      <c r="D106" s="14"/>
      <c r="E106" s="14"/>
      <c r="F106" s="14"/>
      <c r="G106" s="14"/>
      <c r="H106" s="14"/>
      <c r="I106" s="14"/>
      <c r="J106" s="14"/>
      <c r="K106" s="14"/>
      <c r="L106" s="14"/>
      <c r="M106" s="112"/>
      <c r="N106" s="18"/>
    </row>
    <row r="107" spans="1:15">
      <c r="A107" s="14"/>
      <c r="B107" s="14"/>
      <c r="C107" s="14"/>
      <c r="D107" s="14"/>
      <c r="E107" s="14"/>
      <c r="F107" s="14"/>
      <c r="G107" s="14"/>
      <c r="H107" s="14"/>
      <c r="I107" s="14"/>
      <c r="J107" s="14"/>
      <c r="K107" s="14"/>
      <c r="L107" s="14"/>
      <c r="M107" s="112"/>
      <c r="N107" s="18"/>
    </row>
    <row r="108" spans="1:15">
      <c r="A108" s="14"/>
      <c r="B108" s="14"/>
      <c r="C108" s="14"/>
      <c r="D108" s="14"/>
      <c r="E108" s="14"/>
      <c r="F108" s="14"/>
      <c r="G108" s="14"/>
      <c r="H108" s="14"/>
      <c r="I108" s="14"/>
      <c r="J108" s="14"/>
      <c r="K108" s="14"/>
      <c r="L108" s="14"/>
      <c r="M108" s="112"/>
      <c r="N108" s="18"/>
    </row>
    <row r="109" spans="1:15">
      <c r="A109" s="14"/>
      <c r="B109" s="14"/>
      <c r="C109" s="14"/>
      <c r="D109" s="14"/>
      <c r="E109" s="14"/>
      <c r="F109" s="14"/>
      <c r="G109" s="14"/>
      <c r="H109" s="14"/>
      <c r="I109" s="14"/>
      <c r="J109" s="14"/>
      <c r="K109" s="14"/>
      <c r="L109" s="14"/>
      <c r="M109" s="112"/>
      <c r="N109" s="18"/>
    </row>
    <row r="110" spans="1:15">
      <c r="A110" s="14"/>
      <c r="B110" s="14"/>
      <c r="C110" s="14"/>
      <c r="D110" s="14"/>
      <c r="E110" s="14"/>
      <c r="F110" s="14"/>
      <c r="G110" s="14"/>
      <c r="H110" s="14"/>
      <c r="I110" s="14"/>
      <c r="J110" s="14"/>
      <c r="K110" s="14"/>
      <c r="L110" s="14"/>
      <c r="M110" s="112"/>
      <c r="N110" s="18"/>
    </row>
    <row r="111" spans="1:15">
      <c r="A111" s="14"/>
      <c r="B111" s="14"/>
      <c r="C111" s="14"/>
      <c r="D111" s="14"/>
      <c r="E111" s="14"/>
      <c r="F111" s="14"/>
      <c r="G111" s="14"/>
      <c r="H111" s="14"/>
      <c r="I111" s="14"/>
      <c r="J111" s="14"/>
      <c r="K111" s="14"/>
      <c r="L111" s="14"/>
      <c r="M111" s="112"/>
      <c r="N111" s="18"/>
    </row>
    <row r="112" spans="1:15">
      <c r="A112" s="14"/>
      <c r="B112" s="14"/>
      <c r="C112" s="14"/>
      <c r="D112" s="14"/>
      <c r="E112" s="14"/>
      <c r="F112" s="14"/>
      <c r="G112" s="14"/>
      <c r="H112" s="14"/>
      <c r="I112" s="14"/>
      <c r="J112" s="14"/>
      <c r="K112" s="14"/>
      <c r="L112" s="14"/>
      <c r="M112" s="112"/>
      <c r="N112" s="18"/>
    </row>
    <row r="113" spans="1:14">
      <c r="A113" s="14"/>
      <c r="B113" s="14"/>
      <c r="C113" s="14"/>
      <c r="D113" s="14"/>
      <c r="E113" s="14"/>
      <c r="F113" s="14"/>
      <c r="G113" s="14"/>
      <c r="H113" s="14"/>
      <c r="I113" s="14"/>
      <c r="J113" s="14"/>
      <c r="K113" s="14"/>
      <c r="L113" s="14"/>
      <c r="M113" s="112"/>
      <c r="N113" s="18"/>
    </row>
    <row r="114" spans="1:14">
      <c r="A114" s="14"/>
      <c r="B114" s="14"/>
      <c r="C114" s="14"/>
      <c r="D114" s="14"/>
      <c r="E114" s="14"/>
      <c r="F114" s="14"/>
      <c r="G114" s="14"/>
      <c r="H114" s="14"/>
      <c r="I114" s="14"/>
      <c r="J114" s="14"/>
      <c r="K114" s="14"/>
      <c r="L114" s="14"/>
      <c r="M114" s="112"/>
      <c r="N114" s="18"/>
    </row>
    <row r="115" spans="1:14">
      <c r="A115" s="14"/>
      <c r="B115" s="14"/>
      <c r="C115" s="14"/>
      <c r="D115" s="14"/>
      <c r="E115" s="14"/>
      <c r="F115" s="14"/>
      <c r="G115" s="14"/>
      <c r="H115" s="14"/>
      <c r="I115" s="14"/>
      <c r="J115" s="14"/>
      <c r="K115" s="14"/>
      <c r="L115" s="14"/>
      <c r="M115" s="112"/>
      <c r="N115" s="18"/>
    </row>
    <row r="116" spans="1:14">
      <c r="A116" s="14"/>
      <c r="B116" s="14"/>
      <c r="C116" s="14"/>
      <c r="D116" s="14"/>
      <c r="E116" s="14"/>
      <c r="F116" s="14"/>
      <c r="G116" s="14"/>
      <c r="H116" s="14"/>
      <c r="I116" s="14"/>
      <c r="J116" s="14"/>
      <c r="K116" s="14"/>
      <c r="L116" s="14"/>
      <c r="M116" s="112"/>
      <c r="N116" s="18"/>
    </row>
    <row r="117" spans="1:14">
      <c r="A117" s="14"/>
      <c r="B117" s="14"/>
      <c r="C117" s="14"/>
      <c r="D117" s="14"/>
      <c r="E117" s="14"/>
      <c r="F117" s="14"/>
      <c r="G117" s="14"/>
      <c r="H117" s="14"/>
      <c r="I117" s="14"/>
      <c r="J117" s="14"/>
      <c r="K117" s="14"/>
      <c r="L117" s="14"/>
      <c r="M117" s="112"/>
      <c r="N117" s="18"/>
    </row>
    <row r="118" spans="1:14">
      <c r="A118" s="14"/>
      <c r="B118" s="14"/>
      <c r="C118" s="14"/>
      <c r="D118" s="14"/>
      <c r="E118" s="14"/>
      <c r="F118" s="14"/>
      <c r="G118" s="14"/>
      <c r="H118" s="14"/>
      <c r="I118" s="14"/>
      <c r="J118" s="14"/>
      <c r="K118" s="14"/>
      <c r="L118" s="14"/>
      <c r="M118" s="112"/>
      <c r="N118" s="18"/>
    </row>
    <row r="119" spans="1:14">
      <c r="A119" s="14"/>
      <c r="B119" s="14"/>
      <c r="C119" s="14"/>
      <c r="D119" s="14"/>
      <c r="E119" s="14"/>
      <c r="F119" s="14"/>
      <c r="G119" s="14"/>
      <c r="H119" s="14"/>
      <c r="I119" s="14"/>
      <c r="J119" s="14"/>
      <c r="K119" s="14"/>
      <c r="L119" s="14"/>
      <c r="M119" s="112"/>
      <c r="N119" s="18"/>
    </row>
    <row r="120" spans="1:14">
      <c r="A120" s="14"/>
      <c r="B120" s="14"/>
      <c r="C120" s="14"/>
      <c r="D120" s="14"/>
      <c r="E120" s="14"/>
      <c r="F120" s="14"/>
      <c r="G120" s="14"/>
      <c r="H120" s="14"/>
      <c r="I120" s="14"/>
      <c r="J120" s="14"/>
      <c r="K120" s="14"/>
      <c r="L120" s="14"/>
      <c r="M120" s="112"/>
      <c r="N120" s="18"/>
    </row>
    <row r="121" spans="1:14">
      <c r="A121" s="14"/>
      <c r="B121" s="14"/>
      <c r="C121" s="14"/>
      <c r="D121" s="14"/>
      <c r="E121" s="14"/>
      <c r="F121" s="14"/>
      <c r="G121" s="14"/>
      <c r="H121" s="14"/>
      <c r="I121" s="14"/>
      <c r="J121" s="14"/>
      <c r="K121" s="14"/>
      <c r="L121" s="14"/>
      <c r="M121" s="112"/>
      <c r="N121" s="18"/>
    </row>
    <row r="122" spans="1:14">
      <c r="A122" s="14"/>
      <c r="B122" s="14"/>
      <c r="C122" s="14"/>
      <c r="D122" s="14"/>
      <c r="E122" s="14"/>
      <c r="F122" s="14"/>
      <c r="G122" s="14"/>
      <c r="H122" s="14"/>
      <c r="I122" s="14"/>
      <c r="J122" s="14"/>
      <c r="K122" s="14"/>
      <c r="L122" s="14"/>
      <c r="M122" s="112"/>
      <c r="N122" s="18"/>
    </row>
    <row r="123" spans="1:14">
      <c r="A123" s="14"/>
      <c r="B123" s="14"/>
      <c r="C123" s="14"/>
      <c r="D123" s="14"/>
      <c r="E123" s="14"/>
      <c r="F123" s="14"/>
      <c r="G123" s="14"/>
      <c r="H123" s="14"/>
      <c r="I123" s="14"/>
      <c r="J123" s="14"/>
      <c r="K123" s="14"/>
      <c r="L123" s="14"/>
      <c r="M123" s="112"/>
      <c r="N123" s="18"/>
    </row>
    <row r="124" spans="1:14">
      <c r="A124" s="14"/>
      <c r="B124" s="14"/>
      <c r="C124" s="14"/>
      <c r="D124" s="14"/>
      <c r="E124" s="14"/>
      <c r="F124" s="14"/>
      <c r="G124" s="14"/>
      <c r="H124" s="14"/>
      <c r="I124" s="14"/>
      <c r="J124" s="14"/>
      <c r="K124" s="14"/>
      <c r="L124" s="14"/>
      <c r="M124" s="112"/>
      <c r="N124" s="18"/>
    </row>
    <row r="125" spans="1:14">
      <c r="A125" s="14"/>
      <c r="B125" s="14"/>
      <c r="C125" s="14"/>
      <c r="D125" s="14"/>
      <c r="E125" s="14"/>
      <c r="F125" s="14"/>
      <c r="G125" s="14"/>
      <c r="H125" s="14"/>
      <c r="I125" s="14"/>
      <c r="J125" s="14"/>
      <c r="K125" s="14"/>
      <c r="L125" s="14"/>
      <c r="M125" s="112"/>
      <c r="N125" s="18"/>
    </row>
    <row r="126" spans="1:14">
      <c r="A126" s="14"/>
      <c r="B126" s="14"/>
      <c r="C126" s="14"/>
      <c r="D126" s="14"/>
      <c r="E126" s="14"/>
      <c r="F126" s="14"/>
      <c r="G126" s="14"/>
      <c r="H126" s="14"/>
      <c r="I126" s="14"/>
      <c r="J126" s="14"/>
      <c r="K126" s="14"/>
      <c r="L126" s="14"/>
      <c r="M126" s="112"/>
      <c r="N126" s="18"/>
    </row>
    <row r="127" spans="1:14">
      <c r="A127" s="14"/>
      <c r="B127" s="14"/>
      <c r="C127" s="14"/>
      <c r="D127" s="14"/>
      <c r="E127" s="14"/>
      <c r="F127" s="14"/>
      <c r="G127" s="14"/>
      <c r="H127" s="14"/>
      <c r="I127" s="14"/>
      <c r="J127" s="14"/>
      <c r="K127" s="14"/>
      <c r="L127" s="14"/>
      <c r="M127" s="112"/>
      <c r="N127" s="18"/>
    </row>
    <row r="128" spans="1:14">
      <c r="A128" s="14"/>
      <c r="B128" s="14"/>
      <c r="C128" s="14"/>
      <c r="D128" s="14"/>
      <c r="E128" s="14"/>
      <c r="F128" s="14"/>
      <c r="G128" s="14"/>
      <c r="H128" s="14"/>
      <c r="I128" s="14"/>
      <c r="J128" s="14"/>
      <c r="K128" s="14"/>
      <c r="L128" s="14"/>
      <c r="M128" s="112"/>
      <c r="N128" s="18"/>
    </row>
    <row r="129" spans="1:14">
      <c r="A129" s="14"/>
      <c r="B129" s="14"/>
      <c r="C129" s="14"/>
      <c r="D129" s="14"/>
      <c r="E129" s="14"/>
      <c r="F129" s="14"/>
      <c r="G129" s="14"/>
      <c r="H129" s="14"/>
      <c r="I129" s="14"/>
      <c r="J129" s="14"/>
      <c r="K129" s="14"/>
      <c r="L129" s="14"/>
      <c r="M129" s="112"/>
      <c r="N129" s="18"/>
    </row>
    <row r="130" spans="1:14">
      <c r="A130" s="14"/>
      <c r="B130" s="14"/>
      <c r="C130" s="14"/>
      <c r="D130" s="14"/>
      <c r="E130" s="14"/>
      <c r="F130" s="14"/>
      <c r="G130" s="14"/>
      <c r="H130" s="14"/>
      <c r="I130" s="14"/>
      <c r="J130" s="14"/>
      <c r="K130" s="14"/>
      <c r="L130" s="14"/>
      <c r="M130" s="112"/>
      <c r="N130" s="18"/>
    </row>
    <row r="131" spans="1:14">
      <c r="A131" s="14"/>
      <c r="B131" s="14"/>
      <c r="C131" s="14"/>
      <c r="D131" s="14"/>
      <c r="E131" s="14"/>
      <c r="F131" s="14"/>
      <c r="G131" s="14"/>
      <c r="H131" s="14"/>
      <c r="I131" s="14"/>
      <c r="J131" s="14"/>
      <c r="K131" s="14"/>
      <c r="L131" s="14"/>
      <c r="M131" s="112"/>
      <c r="N131" s="18"/>
    </row>
    <row r="132" spans="1:14">
      <c r="A132" s="14"/>
      <c r="B132" s="14"/>
      <c r="C132" s="14"/>
      <c r="D132" s="14"/>
      <c r="E132" s="14"/>
      <c r="F132" s="14"/>
      <c r="G132" s="14"/>
      <c r="H132" s="14"/>
      <c r="I132" s="14"/>
      <c r="J132" s="14"/>
      <c r="K132" s="14"/>
      <c r="L132" s="14"/>
      <c r="M132" s="112"/>
      <c r="N132" s="18"/>
    </row>
    <row r="133" spans="1:14">
      <c r="A133" s="14"/>
      <c r="B133" s="14"/>
      <c r="C133" s="14"/>
      <c r="D133" s="14"/>
      <c r="E133" s="14"/>
      <c r="F133" s="14"/>
      <c r="G133" s="14"/>
      <c r="H133" s="14"/>
      <c r="I133" s="14"/>
      <c r="J133" s="14"/>
      <c r="K133" s="14"/>
      <c r="L133" s="14"/>
      <c r="M133" s="112"/>
      <c r="N133" s="18"/>
    </row>
    <row r="134" spans="1:14">
      <c r="A134" s="14"/>
      <c r="B134" s="14"/>
      <c r="C134" s="14"/>
      <c r="D134" s="14"/>
      <c r="E134" s="14"/>
      <c r="F134" s="14"/>
      <c r="G134" s="14"/>
      <c r="H134" s="14"/>
      <c r="I134" s="14"/>
      <c r="J134" s="14"/>
      <c r="K134" s="14"/>
      <c r="L134" s="14"/>
      <c r="M134" s="112"/>
      <c r="N134" s="18"/>
    </row>
    <row r="135" spans="1:14">
      <c r="A135" s="14"/>
      <c r="B135" s="14"/>
      <c r="C135" s="14"/>
      <c r="D135" s="14"/>
      <c r="E135" s="14"/>
      <c r="F135" s="14"/>
      <c r="G135" s="14"/>
      <c r="H135" s="14"/>
      <c r="I135" s="14"/>
      <c r="J135" s="14"/>
      <c r="K135" s="14"/>
      <c r="L135" s="14"/>
      <c r="M135" s="112"/>
      <c r="N135" s="18"/>
    </row>
    <row r="136" spans="1:14">
      <c r="A136" s="14"/>
      <c r="B136" s="14"/>
      <c r="C136" s="14"/>
      <c r="D136" s="14"/>
      <c r="E136" s="14"/>
      <c r="F136" s="14"/>
      <c r="G136" s="14"/>
      <c r="H136" s="14"/>
      <c r="I136" s="14"/>
      <c r="J136" s="14"/>
      <c r="K136" s="14"/>
      <c r="L136" s="14"/>
      <c r="M136" s="112"/>
      <c r="N136" s="18"/>
    </row>
    <row r="137" spans="1:14">
      <c r="A137" s="14"/>
      <c r="B137" s="14"/>
      <c r="C137" s="14"/>
      <c r="D137" s="14"/>
      <c r="E137" s="14"/>
      <c r="F137" s="14"/>
      <c r="G137" s="14"/>
      <c r="H137" s="14"/>
      <c r="I137" s="14"/>
      <c r="J137" s="14"/>
      <c r="K137" s="14"/>
      <c r="L137" s="14"/>
      <c r="M137" s="112"/>
      <c r="N137" s="18"/>
    </row>
    <row r="138" spans="1:14">
      <c r="A138" s="14"/>
      <c r="B138" s="14"/>
      <c r="C138" s="14"/>
      <c r="D138" s="14"/>
      <c r="E138" s="14"/>
      <c r="F138" s="14"/>
      <c r="G138" s="14"/>
      <c r="H138" s="14"/>
      <c r="I138" s="14"/>
      <c r="J138" s="14"/>
      <c r="K138" s="14"/>
      <c r="L138" s="14"/>
      <c r="M138" s="112"/>
      <c r="N138" s="18"/>
    </row>
    <row r="139" spans="1:14">
      <c r="A139" s="14"/>
      <c r="B139" s="14"/>
      <c r="C139" s="14"/>
      <c r="D139" s="14"/>
      <c r="E139" s="14"/>
      <c r="F139" s="14"/>
      <c r="G139" s="14"/>
      <c r="H139" s="14"/>
      <c r="I139" s="14"/>
      <c r="J139" s="14"/>
      <c r="K139" s="14"/>
      <c r="L139" s="14"/>
      <c r="M139" s="112"/>
      <c r="N139" s="18"/>
    </row>
    <row r="140" spans="1:14">
      <c r="A140" s="14"/>
      <c r="B140" s="14"/>
      <c r="C140" s="14"/>
      <c r="D140" s="14"/>
      <c r="E140" s="14"/>
      <c r="F140" s="14"/>
      <c r="G140" s="14"/>
      <c r="H140" s="14"/>
      <c r="I140" s="14"/>
      <c r="J140" s="14"/>
      <c r="K140" s="14"/>
      <c r="L140" s="14"/>
      <c r="M140" s="112"/>
      <c r="N140" s="18"/>
    </row>
    <row r="141" spans="1:14">
      <c r="A141" s="14"/>
      <c r="B141" s="14"/>
      <c r="C141" s="14"/>
      <c r="D141" s="14"/>
      <c r="E141" s="14"/>
      <c r="F141" s="14"/>
      <c r="G141" s="14"/>
      <c r="H141" s="14"/>
      <c r="I141" s="14"/>
      <c r="J141" s="14"/>
      <c r="K141" s="14"/>
      <c r="L141" s="14"/>
      <c r="M141" s="112"/>
      <c r="N141" s="18"/>
    </row>
    <row r="142" spans="1:14">
      <c r="A142" s="14"/>
      <c r="B142" s="14"/>
      <c r="C142" s="14"/>
      <c r="D142" s="14"/>
      <c r="E142" s="14"/>
      <c r="F142" s="14"/>
      <c r="G142" s="14"/>
      <c r="H142" s="14"/>
      <c r="I142" s="14"/>
      <c r="J142" s="14"/>
      <c r="K142" s="14"/>
      <c r="L142" s="14"/>
      <c r="M142" s="112"/>
      <c r="N142" s="18"/>
    </row>
    <row r="143" spans="1:14">
      <c r="A143" s="14"/>
      <c r="B143" s="14"/>
      <c r="C143" s="14"/>
      <c r="D143" s="14"/>
      <c r="E143" s="14"/>
      <c r="F143" s="14"/>
      <c r="G143" s="14"/>
      <c r="H143" s="14"/>
      <c r="I143" s="14"/>
      <c r="J143" s="14"/>
      <c r="K143" s="14"/>
      <c r="L143" s="14"/>
      <c r="M143" s="112"/>
      <c r="N143" s="18"/>
    </row>
    <row r="144" spans="1:14">
      <c r="A144" s="14"/>
      <c r="B144" s="14"/>
      <c r="C144" s="14"/>
      <c r="D144" s="14"/>
      <c r="E144" s="14"/>
      <c r="F144" s="14"/>
      <c r="G144" s="14"/>
      <c r="H144" s="14"/>
      <c r="I144" s="14"/>
      <c r="J144" s="14"/>
      <c r="K144" s="14"/>
      <c r="L144" s="14"/>
      <c r="M144" s="112"/>
      <c r="N144" s="18"/>
    </row>
    <row r="145" spans="1:14">
      <c r="A145" s="14"/>
      <c r="B145" s="14"/>
      <c r="C145" s="14"/>
      <c r="D145" s="14"/>
      <c r="E145" s="14"/>
      <c r="F145" s="14"/>
      <c r="G145" s="14"/>
      <c r="H145" s="14"/>
      <c r="I145" s="14"/>
      <c r="J145" s="14"/>
      <c r="K145" s="14"/>
      <c r="L145" s="14"/>
      <c r="M145" s="112"/>
      <c r="N145" s="18"/>
    </row>
    <row r="146" spans="1:14">
      <c r="A146" s="14"/>
      <c r="B146" s="14"/>
      <c r="C146" s="14"/>
      <c r="D146" s="14"/>
      <c r="E146" s="14"/>
      <c r="F146" s="14"/>
      <c r="G146" s="14"/>
      <c r="H146" s="14"/>
      <c r="I146" s="14"/>
      <c r="J146" s="14"/>
      <c r="K146" s="14"/>
      <c r="L146" s="14"/>
      <c r="M146" s="112"/>
      <c r="N146" s="18"/>
    </row>
    <row r="147" spans="1:14">
      <c r="A147" s="14"/>
      <c r="B147" s="14"/>
      <c r="C147" s="14"/>
      <c r="D147" s="14"/>
      <c r="E147" s="14"/>
      <c r="F147" s="14"/>
      <c r="G147" s="14"/>
      <c r="H147" s="14"/>
      <c r="I147" s="14"/>
      <c r="J147" s="14"/>
      <c r="K147" s="14"/>
      <c r="L147" s="14"/>
      <c r="M147" s="112"/>
      <c r="N147" s="18"/>
    </row>
    <row r="148" spans="1:14">
      <c r="A148" s="14"/>
      <c r="B148" s="14"/>
      <c r="C148" s="14"/>
      <c r="D148" s="14"/>
      <c r="E148" s="14"/>
      <c r="F148" s="14"/>
      <c r="G148" s="14"/>
      <c r="H148" s="14"/>
      <c r="I148" s="14"/>
      <c r="J148" s="14"/>
      <c r="K148" s="14"/>
      <c r="L148" s="14"/>
      <c r="M148" s="112"/>
      <c r="N148" s="18"/>
    </row>
    <row r="149" spans="1:14">
      <c r="A149" s="14"/>
      <c r="B149" s="14"/>
      <c r="C149" s="14"/>
      <c r="D149" s="14"/>
      <c r="E149" s="14"/>
      <c r="F149" s="14"/>
      <c r="G149" s="14"/>
      <c r="H149" s="14"/>
      <c r="I149" s="14"/>
      <c r="J149" s="14"/>
      <c r="K149" s="14"/>
      <c r="L149" s="14"/>
      <c r="M149" s="112"/>
      <c r="N149" s="18"/>
    </row>
    <row r="150" spans="1:14">
      <c r="A150" s="14"/>
      <c r="B150" s="14"/>
      <c r="C150" s="14"/>
      <c r="D150" s="14"/>
      <c r="E150" s="14"/>
      <c r="F150" s="14"/>
      <c r="G150" s="14"/>
      <c r="H150" s="14"/>
      <c r="I150" s="14"/>
      <c r="J150" s="14"/>
      <c r="K150" s="14"/>
      <c r="L150" s="14"/>
      <c r="M150" s="112"/>
      <c r="N150" s="18"/>
    </row>
    <row r="151" spans="1:14">
      <c r="A151" s="14"/>
      <c r="B151" s="14"/>
      <c r="C151" s="14"/>
      <c r="D151" s="14"/>
      <c r="E151" s="14"/>
      <c r="F151" s="14"/>
      <c r="G151" s="14"/>
      <c r="H151" s="14"/>
      <c r="I151" s="14"/>
      <c r="J151" s="14"/>
      <c r="K151" s="14"/>
      <c r="L151" s="14"/>
      <c r="M151" s="112"/>
      <c r="N151" s="18"/>
    </row>
    <row r="152" spans="1:14">
      <c r="A152" s="14"/>
      <c r="B152" s="14"/>
      <c r="C152" s="14"/>
      <c r="D152" s="14"/>
      <c r="E152" s="14"/>
      <c r="F152" s="14"/>
      <c r="G152" s="14"/>
      <c r="H152" s="14"/>
      <c r="I152" s="14"/>
      <c r="J152" s="14"/>
      <c r="K152" s="14"/>
      <c r="L152" s="14"/>
      <c r="M152" s="112"/>
      <c r="N152" s="18"/>
    </row>
    <row r="153" spans="1:14">
      <c r="A153" s="14"/>
      <c r="B153" s="14"/>
      <c r="C153" s="14"/>
      <c r="D153" s="14"/>
      <c r="E153" s="14"/>
      <c r="F153" s="14"/>
      <c r="G153" s="14"/>
      <c r="H153" s="14"/>
      <c r="I153" s="14"/>
      <c r="J153" s="14"/>
      <c r="K153" s="14"/>
      <c r="L153" s="14"/>
      <c r="M153" s="112"/>
      <c r="N153" s="18"/>
    </row>
    <row r="154" spans="1:14">
      <c r="A154" s="14"/>
      <c r="B154" s="14"/>
      <c r="C154" s="14"/>
      <c r="D154" s="14"/>
      <c r="E154" s="14"/>
      <c r="F154" s="14"/>
      <c r="G154" s="14"/>
      <c r="H154" s="14"/>
      <c r="I154" s="14"/>
      <c r="J154" s="14"/>
      <c r="K154" s="14"/>
      <c r="L154" s="14"/>
      <c r="M154" s="112"/>
      <c r="N154" s="18"/>
    </row>
    <row r="155" spans="1:14">
      <c r="A155" s="14"/>
      <c r="B155" s="14"/>
      <c r="C155" s="14"/>
      <c r="D155" s="14"/>
      <c r="E155" s="14"/>
      <c r="F155" s="14"/>
      <c r="G155" s="14"/>
      <c r="H155" s="14"/>
      <c r="I155" s="14"/>
      <c r="J155" s="14"/>
      <c r="K155" s="14"/>
      <c r="L155" s="14"/>
      <c r="M155" s="112"/>
      <c r="N155" s="18"/>
    </row>
    <row r="156" spans="1:14">
      <c r="A156" s="14"/>
      <c r="B156" s="14"/>
      <c r="C156" s="14"/>
      <c r="D156" s="14"/>
      <c r="E156" s="14"/>
      <c r="F156" s="14"/>
      <c r="G156" s="14"/>
      <c r="H156" s="14"/>
      <c r="I156" s="14"/>
      <c r="J156" s="14"/>
      <c r="K156" s="14"/>
      <c r="L156" s="14"/>
      <c r="M156" s="112"/>
      <c r="N156" s="18"/>
    </row>
    <row r="157" spans="1:14">
      <c r="A157" s="14"/>
      <c r="B157" s="14"/>
      <c r="C157" s="14"/>
      <c r="D157" s="14"/>
      <c r="E157" s="14"/>
      <c r="F157" s="14"/>
      <c r="G157" s="14"/>
      <c r="H157" s="14"/>
      <c r="I157" s="14"/>
      <c r="J157" s="14"/>
      <c r="K157" s="14"/>
      <c r="L157" s="14"/>
      <c r="M157" s="112"/>
      <c r="N157" s="18"/>
    </row>
    <row r="158" spans="1:14">
      <c r="A158" s="14"/>
      <c r="B158" s="14"/>
      <c r="C158" s="14"/>
      <c r="D158" s="14"/>
      <c r="E158" s="14"/>
      <c r="F158" s="14"/>
      <c r="G158" s="14"/>
      <c r="H158" s="14"/>
      <c r="I158" s="14"/>
      <c r="J158" s="14"/>
      <c r="K158" s="14"/>
      <c r="L158" s="14"/>
      <c r="M158" s="112"/>
      <c r="N158" s="18"/>
    </row>
    <row r="159" spans="1:14">
      <c r="A159" s="14"/>
      <c r="B159" s="14"/>
      <c r="C159" s="14"/>
      <c r="D159" s="14"/>
      <c r="E159" s="14"/>
      <c r="F159" s="14"/>
      <c r="G159" s="14"/>
      <c r="H159" s="14"/>
      <c r="I159" s="14"/>
      <c r="J159" s="14"/>
      <c r="K159" s="14"/>
      <c r="L159" s="14"/>
      <c r="M159" s="112"/>
      <c r="N159" s="18"/>
    </row>
    <row r="160" spans="1:14">
      <c r="A160" s="14"/>
      <c r="B160" s="14"/>
      <c r="C160" s="14"/>
      <c r="D160" s="14"/>
      <c r="E160" s="14"/>
      <c r="F160" s="14"/>
      <c r="G160" s="14"/>
      <c r="H160" s="14"/>
      <c r="I160" s="14"/>
      <c r="J160" s="14"/>
      <c r="K160" s="14"/>
      <c r="L160" s="14"/>
      <c r="M160" s="112"/>
      <c r="N160" s="18"/>
    </row>
    <row r="161" spans="1:14">
      <c r="A161" s="14"/>
      <c r="B161" s="14"/>
      <c r="C161" s="14"/>
      <c r="D161" s="14"/>
      <c r="E161" s="14"/>
      <c r="F161" s="14"/>
      <c r="G161" s="14"/>
      <c r="H161" s="14"/>
      <c r="I161" s="14"/>
      <c r="J161" s="14"/>
      <c r="K161" s="14"/>
      <c r="L161" s="14"/>
      <c r="M161" s="112"/>
      <c r="N161" s="18"/>
    </row>
    <row r="162" spans="1:14">
      <c r="A162" s="14"/>
      <c r="B162" s="14"/>
      <c r="C162" s="14"/>
      <c r="D162" s="14"/>
      <c r="E162" s="14"/>
      <c r="F162" s="14"/>
      <c r="G162" s="14"/>
      <c r="H162" s="14"/>
      <c r="I162" s="14"/>
      <c r="J162" s="14"/>
      <c r="K162" s="14"/>
      <c r="L162" s="14"/>
      <c r="M162" s="112"/>
      <c r="N162" s="18"/>
    </row>
    <row r="163" spans="1:14">
      <c r="A163" s="14"/>
      <c r="B163" s="14"/>
      <c r="C163" s="14"/>
      <c r="D163" s="14"/>
      <c r="E163" s="14"/>
      <c r="F163" s="14"/>
      <c r="G163" s="14"/>
      <c r="H163" s="14"/>
      <c r="I163" s="14"/>
      <c r="J163" s="14"/>
      <c r="K163" s="14"/>
      <c r="L163" s="14"/>
      <c r="M163" s="112"/>
      <c r="N163" s="18"/>
    </row>
    <row r="164" spans="1:14">
      <c r="A164" s="14"/>
      <c r="B164" s="14"/>
      <c r="C164" s="14"/>
      <c r="D164" s="14"/>
      <c r="E164" s="14"/>
      <c r="F164" s="14"/>
      <c r="G164" s="14"/>
      <c r="H164" s="14"/>
      <c r="I164" s="14"/>
      <c r="J164" s="14"/>
      <c r="K164" s="14"/>
      <c r="L164" s="14"/>
      <c r="M164" s="112"/>
      <c r="N164" s="18"/>
    </row>
    <row r="165" spans="1:14">
      <c r="A165" s="14"/>
      <c r="B165" s="14"/>
      <c r="C165" s="14"/>
      <c r="D165" s="14"/>
      <c r="E165" s="14"/>
      <c r="F165" s="14"/>
      <c r="G165" s="14"/>
      <c r="H165" s="14"/>
      <c r="I165" s="14"/>
      <c r="J165" s="14"/>
      <c r="K165" s="14"/>
      <c r="L165" s="14"/>
      <c r="M165" s="112"/>
      <c r="N165" s="18"/>
    </row>
    <row r="166" spans="1:14">
      <c r="A166" s="14"/>
      <c r="B166" s="14"/>
      <c r="C166" s="14"/>
      <c r="D166" s="14"/>
      <c r="E166" s="14"/>
      <c r="F166" s="14"/>
      <c r="G166" s="14"/>
      <c r="H166" s="14"/>
      <c r="I166" s="14"/>
      <c r="J166" s="14"/>
      <c r="K166" s="14"/>
      <c r="L166" s="14"/>
      <c r="M166" s="112"/>
      <c r="N166" s="18"/>
    </row>
    <row r="167" spans="1:14">
      <c r="A167" s="14"/>
      <c r="B167" s="14"/>
      <c r="C167" s="14"/>
      <c r="D167" s="14"/>
      <c r="E167" s="14"/>
      <c r="F167" s="14"/>
      <c r="G167" s="14"/>
      <c r="H167" s="14"/>
      <c r="I167" s="14"/>
      <c r="J167" s="14"/>
      <c r="K167" s="14"/>
      <c r="L167" s="14"/>
      <c r="M167" s="112"/>
      <c r="N167" s="18"/>
    </row>
    <row r="168" spans="1:14">
      <c r="A168" s="14"/>
      <c r="B168" s="14"/>
      <c r="C168" s="14"/>
      <c r="D168" s="14"/>
      <c r="E168" s="14"/>
      <c r="F168" s="14"/>
      <c r="G168" s="14"/>
      <c r="H168" s="14"/>
      <c r="I168" s="14"/>
      <c r="J168" s="14"/>
      <c r="K168" s="14"/>
      <c r="L168" s="14"/>
      <c r="M168" s="112"/>
      <c r="N168" s="18"/>
    </row>
    <row r="169" spans="1:14">
      <c r="A169" s="14"/>
      <c r="B169" s="14"/>
      <c r="C169" s="14"/>
      <c r="D169" s="14"/>
      <c r="E169" s="14"/>
      <c r="F169" s="14"/>
      <c r="G169" s="14"/>
      <c r="H169" s="14"/>
      <c r="I169" s="14"/>
      <c r="J169" s="14"/>
      <c r="K169" s="14"/>
      <c r="L169" s="14"/>
      <c r="M169" s="112"/>
      <c r="N169" s="18"/>
    </row>
    <row r="170" spans="1:14">
      <c r="A170" s="14"/>
      <c r="B170" s="14"/>
      <c r="C170" s="14"/>
      <c r="D170" s="14"/>
      <c r="E170" s="14"/>
      <c r="F170" s="14"/>
      <c r="G170" s="14"/>
      <c r="H170" s="14"/>
      <c r="I170" s="14"/>
      <c r="J170" s="14"/>
      <c r="K170" s="14"/>
      <c r="L170" s="14"/>
      <c r="M170" s="112"/>
      <c r="N170" s="18"/>
    </row>
    <row r="171" spans="1:14">
      <c r="A171" s="14"/>
      <c r="B171" s="14"/>
      <c r="C171" s="14"/>
      <c r="D171" s="14"/>
      <c r="E171" s="14"/>
      <c r="F171" s="14"/>
      <c r="G171" s="14"/>
      <c r="H171" s="14"/>
      <c r="I171" s="14"/>
      <c r="J171" s="14"/>
      <c r="K171" s="14"/>
      <c r="L171" s="14"/>
      <c r="M171" s="112"/>
      <c r="N171" s="18"/>
    </row>
    <row r="172" spans="1:14">
      <c r="A172" s="14"/>
      <c r="B172" s="14"/>
      <c r="C172" s="14"/>
      <c r="D172" s="14"/>
      <c r="E172" s="14"/>
      <c r="F172" s="14"/>
      <c r="G172" s="14"/>
      <c r="H172" s="14"/>
      <c r="I172" s="14"/>
      <c r="J172" s="14"/>
      <c r="K172" s="14"/>
      <c r="L172" s="14"/>
      <c r="M172" s="112"/>
      <c r="N172" s="18"/>
    </row>
    <row r="173" spans="1:14">
      <c r="A173" s="14"/>
      <c r="B173" s="14"/>
      <c r="C173" s="14"/>
      <c r="D173" s="14"/>
      <c r="E173" s="14"/>
      <c r="F173" s="14"/>
      <c r="G173" s="14"/>
      <c r="H173" s="14"/>
      <c r="I173" s="14"/>
      <c r="J173" s="14"/>
      <c r="K173" s="14"/>
      <c r="L173" s="14"/>
      <c r="M173" s="112"/>
      <c r="N173" s="18"/>
    </row>
    <row r="174" spans="1:14">
      <c r="A174" s="15"/>
      <c r="B174" s="15"/>
      <c r="C174" s="15"/>
      <c r="D174" s="15"/>
      <c r="F174" s="15"/>
      <c r="G174" s="15"/>
      <c r="J174" s="15"/>
      <c r="L174" s="15"/>
      <c r="M174" s="113"/>
    </row>
    <row r="175" spans="1:14">
      <c r="A175" s="15"/>
      <c r="B175" s="15"/>
      <c r="C175" s="15"/>
      <c r="D175" s="15"/>
      <c r="F175" s="15"/>
      <c r="G175" s="15"/>
      <c r="J175" s="15"/>
      <c r="L175" s="15"/>
      <c r="M175" s="113"/>
    </row>
    <row r="176" spans="1:14">
      <c r="A176" s="15"/>
      <c r="B176" s="15"/>
      <c r="C176" s="15"/>
      <c r="D176" s="15"/>
      <c r="F176" s="15"/>
      <c r="G176" s="15"/>
      <c r="J176" s="15"/>
      <c r="L176" s="15"/>
      <c r="M176" s="113"/>
    </row>
    <row r="177" spans="1:13">
      <c r="A177" s="15"/>
      <c r="B177" s="15"/>
      <c r="C177" s="15"/>
      <c r="D177" s="15"/>
      <c r="F177" s="15"/>
      <c r="G177" s="15"/>
      <c r="J177" s="15"/>
      <c r="L177" s="15"/>
      <c r="M177" s="113"/>
    </row>
    <row r="178" spans="1:13">
      <c r="A178" s="15"/>
      <c r="B178" s="15"/>
      <c r="C178" s="15"/>
      <c r="D178" s="15"/>
      <c r="F178" s="15"/>
      <c r="G178" s="15"/>
      <c r="J178" s="15"/>
      <c r="L178" s="15"/>
      <c r="M178" s="113"/>
    </row>
    <row r="179" spans="1:13">
      <c r="A179" s="15"/>
      <c r="B179" s="15"/>
      <c r="C179" s="15"/>
      <c r="D179" s="15"/>
      <c r="F179" s="15"/>
      <c r="G179" s="15"/>
      <c r="J179" s="15"/>
      <c r="L179" s="15"/>
      <c r="M179" s="113"/>
    </row>
    <row r="180" spans="1:13">
      <c r="A180" s="15"/>
      <c r="B180" s="15"/>
      <c r="C180" s="15"/>
      <c r="D180" s="15"/>
      <c r="F180" s="15"/>
      <c r="G180" s="15"/>
      <c r="J180" s="15"/>
      <c r="L180" s="15"/>
      <c r="M180" s="113"/>
    </row>
    <row r="181" spans="1:13">
      <c r="A181" s="15"/>
      <c r="B181" s="15"/>
      <c r="C181" s="15"/>
      <c r="D181" s="15"/>
      <c r="F181" s="15"/>
      <c r="G181" s="15"/>
      <c r="J181" s="15"/>
      <c r="L181" s="15"/>
      <c r="M181" s="113"/>
    </row>
    <row r="182" spans="1:13">
      <c r="A182" s="15"/>
      <c r="B182" s="15"/>
      <c r="C182" s="15"/>
      <c r="D182" s="15"/>
      <c r="F182" s="15"/>
      <c r="G182" s="15"/>
      <c r="J182" s="15"/>
      <c r="L182" s="15"/>
      <c r="M182" s="113"/>
    </row>
    <row r="183" spans="1:13">
      <c r="A183" s="15"/>
      <c r="B183" s="15"/>
      <c r="C183" s="15"/>
      <c r="D183" s="15"/>
      <c r="F183" s="15"/>
      <c r="G183" s="15"/>
      <c r="J183" s="15"/>
      <c r="L183" s="15"/>
      <c r="M183" s="113"/>
    </row>
    <row r="184" spans="1:13">
      <c r="A184" s="15"/>
      <c r="B184" s="15"/>
      <c r="C184" s="15"/>
      <c r="D184" s="15"/>
      <c r="F184" s="15"/>
      <c r="G184" s="15"/>
      <c r="J184" s="15"/>
      <c r="L184" s="15"/>
      <c r="M184" s="113"/>
    </row>
    <row r="185" spans="1:13">
      <c r="A185" s="15"/>
      <c r="B185" s="15"/>
      <c r="C185" s="15"/>
      <c r="D185" s="15"/>
      <c r="F185" s="15"/>
      <c r="G185" s="15"/>
      <c r="J185" s="15"/>
      <c r="L185" s="15"/>
      <c r="M185" s="113"/>
    </row>
    <row r="186" spans="1:13">
      <c r="A186" s="15"/>
      <c r="B186" s="15"/>
      <c r="C186" s="15"/>
      <c r="D186" s="15"/>
      <c r="F186" s="15"/>
      <c r="G186" s="15"/>
      <c r="J186" s="15"/>
      <c r="L186" s="15"/>
      <c r="M186" s="113"/>
    </row>
    <row r="187" spans="1:13">
      <c r="A187" s="15"/>
      <c r="B187" s="15"/>
      <c r="C187" s="15"/>
      <c r="D187" s="15"/>
      <c r="F187" s="15"/>
      <c r="G187" s="15"/>
      <c r="J187" s="15"/>
      <c r="L187" s="15"/>
      <c r="M187" s="113"/>
    </row>
    <row r="188" spans="1:13">
      <c r="A188" s="15"/>
      <c r="B188" s="15"/>
      <c r="C188" s="15"/>
      <c r="D188" s="15"/>
      <c r="F188" s="15"/>
      <c r="G188" s="15"/>
      <c r="J188" s="15"/>
      <c r="L188" s="15"/>
      <c r="M188" s="113"/>
    </row>
    <row r="189" spans="1:13">
      <c r="A189" s="15"/>
      <c r="B189" s="15"/>
      <c r="C189" s="15"/>
      <c r="D189" s="15"/>
      <c r="F189" s="15"/>
      <c r="G189" s="15"/>
      <c r="J189" s="15"/>
      <c r="L189" s="15"/>
      <c r="M189" s="113"/>
    </row>
    <row r="190" spans="1:13">
      <c r="A190" s="15"/>
      <c r="B190" s="15"/>
      <c r="C190" s="15"/>
      <c r="D190" s="15"/>
      <c r="F190" s="15"/>
      <c r="G190" s="15"/>
      <c r="J190" s="15"/>
      <c r="L190" s="15"/>
      <c r="M190" s="113"/>
    </row>
  </sheetData>
  <autoFilter ref="A10:N87" xr:uid="{567D56FC-EA03-4E01-9B92-C6C1F3C183CD}"/>
  <mergeCells count="12">
    <mergeCell ref="A9:E9"/>
    <mergeCell ref="A1:E1"/>
    <mergeCell ref="F1:I1"/>
    <mergeCell ref="A2:E2"/>
    <mergeCell ref="F2:I2"/>
    <mergeCell ref="A3:E3"/>
    <mergeCell ref="F3:I3"/>
    <mergeCell ref="A4:E4"/>
    <mergeCell ref="F4:I4"/>
    <mergeCell ref="A5:E6"/>
    <mergeCell ref="A7:E7"/>
    <mergeCell ref="A8:E8"/>
  </mergeCells>
  <conditionalFormatting sqref="AH21:AO21 M11:M1048576">
    <cfRule type="cellIs" dxfId="11" priority="3" operator="equal">
      <formula>"Pass"</formula>
    </cfRule>
  </conditionalFormatting>
  <conditionalFormatting sqref="AH21:AO21 M11:M1048576">
    <cfRule type="cellIs" dxfId="10" priority="2" operator="equal">
      <formula>"Fail"</formula>
    </cfRule>
  </conditionalFormatting>
  <conditionalFormatting sqref="AH21:AO21 M11:M1048576">
    <cfRule type="cellIs" dxfId="9" priority="1" operator="equal">
      <formula>"Not Executed"</formula>
    </cfRule>
  </conditionalFormatting>
  <dataValidations count="2">
    <dataValidation type="list" allowBlank="1" showInputMessage="1" showErrorMessage="1" sqref="M11:M86" xr:uid="{0F6B1C52-5904-424F-88D3-E011351D13FE}">
      <formula1>"Not Executed,Pass,Fail"</formula1>
    </dataValidation>
    <dataValidation showInputMessage="1" showErrorMessage="1" sqref="L10" xr:uid="{DC768AB0-0148-4AD5-806E-2E40FE9F35BD}"/>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6E5BB-8010-4DD3-96FF-8D1E6DF49CF9}">
  <sheetPr filterMode="1"/>
  <dimension ref="A1:AY190"/>
  <sheetViews>
    <sheetView zoomScale="68" workbookViewId="0">
      <pane ySplit="10" topLeftCell="E80" activePane="bottomLeft" state="frozen"/>
      <selection pane="bottomLeft" activeCell="E80" sqref="E80:E84"/>
    </sheetView>
  </sheetViews>
  <sheetFormatPr defaultColWidth="9.140625" defaultRowHeight="15.75"/>
  <cols>
    <col min="1" max="1" width="9.140625" style="16"/>
    <col min="2" max="2" width="17.140625" style="16" customWidth="1"/>
    <col min="3" max="3" width="13.7109375" style="16" customWidth="1"/>
    <col min="4" max="4" width="21" style="16" customWidth="1"/>
    <col min="5" max="5" width="26.5703125" style="15" customWidth="1"/>
    <col min="6" max="6" width="16.85546875" style="16" customWidth="1"/>
    <col min="7" max="7" width="31.28515625" style="16" customWidth="1"/>
    <col min="8" max="8" width="34.7109375" style="15" customWidth="1"/>
    <col min="9" max="9" width="24.5703125" style="15" customWidth="1"/>
    <col min="10" max="10" width="25.42578125" style="16" customWidth="1"/>
    <col min="11" max="11" width="45.140625" style="15" customWidth="1"/>
    <col min="12" max="12" width="44" style="16" customWidth="1"/>
    <col min="13" max="13" width="16.5703125" style="114" customWidth="1"/>
    <col min="14" max="14" width="18.5703125" style="16" customWidth="1"/>
    <col min="15" max="15" width="18.85546875" style="16" customWidth="1"/>
    <col min="16" max="16384" width="9.140625" style="16"/>
  </cols>
  <sheetData>
    <row r="1" spans="1:51">
      <c r="A1" s="222" t="s">
        <v>35</v>
      </c>
      <c r="B1" s="223"/>
      <c r="C1" s="223"/>
      <c r="D1" s="223"/>
      <c r="E1" s="224"/>
      <c r="F1" s="225">
        <v>0</v>
      </c>
      <c r="G1" s="205"/>
      <c r="H1" s="205"/>
      <c r="I1" s="205"/>
      <c r="J1" s="73"/>
      <c r="K1" s="73"/>
      <c r="L1" s="73"/>
      <c r="M1" s="104"/>
      <c r="N1" s="74"/>
      <c r="O1" s="71"/>
    </row>
    <row r="2" spans="1:51">
      <c r="A2" s="222" t="s">
        <v>36</v>
      </c>
      <c r="B2" s="223"/>
      <c r="C2" s="223"/>
      <c r="D2" s="223"/>
      <c r="E2" s="224"/>
      <c r="F2" s="225">
        <v>0</v>
      </c>
      <c r="G2" s="205"/>
      <c r="H2" s="205"/>
      <c r="I2" s="205"/>
      <c r="J2" s="73"/>
      <c r="K2" s="73"/>
      <c r="L2" s="73"/>
      <c r="M2" s="104"/>
      <c r="N2" s="74"/>
      <c r="O2" s="71"/>
    </row>
    <row r="3" spans="1:51">
      <c r="A3" s="213" t="s">
        <v>37</v>
      </c>
      <c r="B3" s="214"/>
      <c r="C3" s="214"/>
      <c r="D3" s="214"/>
      <c r="E3" s="215"/>
      <c r="F3" s="225">
        <v>0</v>
      </c>
      <c r="G3" s="205"/>
      <c r="H3" s="205"/>
      <c r="I3" s="205"/>
      <c r="J3" s="73"/>
      <c r="K3" s="73"/>
      <c r="L3" s="73"/>
      <c r="M3" s="104"/>
      <c r="N3" s="74"/>
      <c r="O3" s="71"/>
    </row>
    <row r="4" spans="1:51">
      <c r="A4" s="213" t="s">
        <v>38</v>
      </c>
      <c r="B4" s="214"/>
      <c r="C4" s="214"/>
      <c r="D4" s="214"/>
      <c r="E4" s="215"/>
      <c r="F4" s="205">
        <f>SUMIFS(H11:H500, B11:B500, B10)</f>
        <v>0</v>
      </c>
      <c r="G4" s="205"/>
      <c r="H4" s="205"/>
      <c r="I4" s="205"/>
      <c r="J4" s="101" t="s">
        <v>39</v>
      </c>
      <c r="K4" s="101" t="s">
        <v>40</v>
      </c>
      <c r="L4" s="102" t="s">
        <v>41</v>
      </c>
      <c r="M4" s="105" t="s">
        <v>42</v>
      </c>
      <c r="N4" s="103" t="s">
        <v>43</v>
      </c>
      <c r="O4" s="100"/>
    </row>
    <row r="5" spans="1:51">
      <c r="A5" s="207" t="s">
        <v>44</v>
      </c>
      <c r="B5" s="208"/>
      <c r="C5" s="208"/>
      <c r="D5" s="208"/>
      <c r="E5" s="209"/>
      <c r="F5" s="75" t="s">
        <v>45</v>
      </c>
      <c r="G5" s="76" t="s">
        <v>46</v>
      </c>
      <c r="H5" s="23" t="s">
        <v>47</v>
      </c>
      <c r="I5" s="23"/>
      <c r="J5" s="95">
        <v>0</v>
      </c>
      <c r="K5" s="23">
        <v>0</v>
      </c>
      <c r="L5" s="99">
        <f ca="1">COUNTIF(M8:INDEX(O:O,COUNTA(C:C)+10),"Pass")</f>
        <v>0</v>
      </c>
      <c r="M5" s="106">
        <f ca="1">COUNTIF(M8:INDEX(O:O,COUNTA(C:C)+10),"Fail")</f>
        <v>0</v>
      </c>
      <c r="N5" s="98">
        <f ca="1">COUNTIF(M8:INDEX(O:O,COUNTA(C:C)+10),"Not Executed")</f>
        <v>0</v>
      </c>
      <c r="O5" s="97"/>
    </row>
    <row r="6" spans="1:51">
      <c r="A6" s="210"/>
      <c r="B6" s="211"/>
      <c r="C6" s="211"/>
      <c r="D6" s="211"/>
      <c r="E6" s="212"/>
      <c r="F6" s="24"/>
      <c r="G6" s="24"/>
      <c r="H6" s="25"/>
      <c r="I6" s="26"/>
      <c r="J6" s="26"/>
      <c r="K6" s="26"/>
      <c r="L6" s="26"/>
      <c r="M6" s="107"/>
      <c r="N6" s="71"/>
      <c r="O6" s="71"/>
    </row>
    <row r="7" spans="1:51">
      <c r="A7" s="213" t="s">
        <v>48</v>
      </c>
      <c r="B7" s="214"/>
      <c r="C7" s="214"/>
      <c r="D7" s="214"/>
      <c r="E7" s="215"/>
      <c r="F7" s="27"/>
      <c r="G7" s="27"/>
      <c r="H7" s="27"/>
      <c r="I7" s="27"/>
      <c r="J7" s="27"/>
      <c r="K7" s="27"/>
      <c r="L7" s="27"/>
      <c r="M7" s="72"/>
      <c r="N7" s="71"/>
      <c r="O7" s="71"/>
    </row>
    <row r="8" spans="1:51">
      <c r="A8" s="216" t="s">
        <v>49</v>
      </c>
      <c r="B8" s="217"/>
      <c r="C8" s="217"/>
      <c r="D8" s="217"/>
      <c r="E8" s="218"/>
      <c r="F8" s="29"/>
      <c r="G8" s="30"/>
      <c r="H8" s="31"/>
      <c r="I8" s="32"/>
      <c r="J8" s="33"/>
      <c r="K8" s="32"/>
      <c r="L8" s="33"/>
      <c r="M8" s="108"/>
      <c r="N8" s="71"/>
      <c r="O8" s="71"/>
    </row>
    <row r="9" spans="1:51">
      <c r="A9" s="219" t="s">
        <v>50</v>
      </c>
      <c r="B9" s="220"/>
      <c r="C9" s="220"/>
      <c r="D9" s="220"/>
      <c r="E9" s="221"/>
      <c r="F9" s="34"/>
      <c r="G9" s="35"/>
      <c r="H9" s="36"/>
      <c r="I9" s="36"/>
      <c r="J9" s="35"/>
      <c r="K9" s="36"/>
      <c r="L9" s="35"/>
      <c r="M9" s="109"/>
      <c r="N9" s="71"/>
      <c r="O9" s="71"/>
    </row>
    <row r="10" spans="1:51" s="15" customFormat="1" ht="32.25">
      <c r="A10" s="79" t="s">
        <v>51</v>
      </c>
      <c r="B10" s="81" t="s">
        <v>52</v>
      </c>
      <c r="C10" s="85" t="s">
        <v>53</v>
      </c>
      <c r="D10" s="85" t="s">
        <v>54</v>
      </c>
      <c r="E10" s="86" t="s">
        <v>55</v>
      </c>
      <c r="F10" s="78" t="s">
        <v>56</v>
      </c>
      <c r="G10" s="20" t="s">
        <v>57</v>
      </c>
      <c r="H10" s="20" t="s">
        <v>58</v>
      </c>
      <c r="I10" s="77" t="s">
        <v>59</v>
      </c>
      <c r="J10" s="77" t="s">
        <v>60</v>
      </c>
      <c r="K10" s="77" t="s">
        <v>61</v>
      </c>
      <c r="L10" s="77" t="s">
        <v>62</v>
      </c>
      <c r="M10" s="110" t="s">
        <v>63</v>
      </c>
      <c r="N10" s="79" t="s">
        <v>64</v>
      </c>
      <c r="O10" s="81" t="s">
        <v>65</v>
      </c>
    </row>
    <row r="11" spans="1:51">
      <c r="A11" s="49"/>
      <c r="B11" s="14"/>
      <c r="C11" s="160"/>
      <c r="D11" s="51"/>
      <c r="E11" s="17"/>
      <c r="F11" s="52"/>
      <c r="G11" s="12"/>
      <c r="H11" s="12"/>
      <c r="I11" s="13"/>
      <c r="J11" s="13"/>
      <c r="K11" s="13"/>
      <c r="L11" s="13"/>
      <c r="M11" s="111"/>
      <c r="N11" s="45"/>
      <c r="O11" s="14"/>
      <c r="P11" s="15"/>
      <c r="Q11" s="15"/>
      <c r="R11" s="15"/>
      <c r="S11" s="15"/>
      <c r="T11" s="15"/>
      <c r="U11" s="15"/>
      <c r="V11" s="15"/>
      <c r="W11" s="15"/>
      <c r="X11" s="15"/>
      <c r="Y11" s="15"/>
      <c r="Z11" s="15"/>
      <c r="AA11" s="15"/>
      <c r="AB11" s="15"/>
      <c r="AC11" s="15"/>
      <c r="AD11" s="15"/>
      <c r="AE11" s="15"/>
      <c r="AF11" s="15"/>
      <c r="AG11" s="15"/>
      <c r="AH11" s="15"/>
      <c r="AI11" s="15"/>
      <c r="AJ11" s="15"/>
      <c r="AK11" s="15"/>
      <c r="AL11" s="15"/>
      <c r="AM11" s="15"/>
      <c r="AN11" s="15"/>
      <c r="AO11" s="15"/>
      <c r="AP11" s="15"/>
      <c r="AQ11" s="15"/>
      <c r="AR11" s="15"/>
      <c r="AS11" s="15"/>
      <c r="AT11" s="15"/>
      <c r="AU11" s="15"/>
      <c r="AV11" s="15"/>
      <c r="AW11" s="15"/>
      <c r="AX11" s="15"/>
      <c r="AY11" s="15"/>
    </row>
    <row r="12" spans="1:51">
      <c r="A12" s="49"/>
      <c r="B12" s="14"/>
      <c r="C12" s="160"/>
      <c r="D12" s="51"/>
      <c r="E12" s="17"/>
      <c r="F12" s="52"/>
      <c r="G12" s="12"/>
      <c r="H12" s="12"/>
      <c r="I12" s="13"/>
      <c r="J12" s="13"/>
      <c r="K12" s="13"/>
      <c r="L12" s="13"/>
      <c r="M12" s="111"/>
      <c r="N12" s="45"/>
      <c r="O12" s="14"/>
      <c r="P12" s="15"/>
      <c r="Q12" s="15"/>
      <c r="R12" s="15"/>
      <c r="S12" s="15"/>
      <c r="T12" s="15"/>
      <c r="U12" s="15"/>
      <c r="V12" s="15"/>
      <c r="W12" s="15"/>
      <c r="X12" s="15"/>
      <c r="Y12" s="15"/>
      <c r="Z12" s="15"/>
      <c r="AA12" s="15"/>
      <c r="AB12" s="15"/>
      <c r="AC12" s="15"/>
      <c r="AD12" s="15"/>
      <c r="AE12" s="15"/>
      <c r="AF12" s="15"/>
      <c r="AG12" s="15"/>
      <c r="AH12" s="15"/>
      <c r="AI12" s="15"/>
      <c r="AJ12" s="15"/>
      <c r="AK12" s="15"/>
      <c r="AL12" s="15"/>
      <c r="AM12" s="15"/>
      <c r="AN12" s="15"/>
      <c r="AO12" s="15"/>
      <c r="AP12" s="15"/>
      <c r="AQ12" s="15"/>
      <c r="AR12" s="15"/>
      <c r="AS12" s="15"/>
      <c r="AT12" s="15"/>
      <c r="AU12" s="15"/>
      <c r="AV12" s="15"/>
      <c r="AW12" s="15"/>
      <c r="AX12" s="15"/>
      <c r="AY12" s="15"/>
    </row>
    <row r="13" spans="1:51">
      <c r="A13" s="49"/>
      <c r="B13" s="53"/>
      <c r="C13" s="160"/>
      <c r="D13" s="51"/>
      <c r="E13" s="17"/>
      <c r="F13" s="52"/>
      <c r="G13" s="12"/>
      <c r="H13" s="12"/>
      <c r="I13" s="13"/>
      <c r="J13" s="13"/>
      <c r="K13" s="13"/>
      <c r="L13" s="13"/>
      <c r="M13" s="111"/>
      <c r="N13" s="45"/>
      <c r="O13" s="14"/>
      <c r="P13" s="15"/>
      <c r="Q13" s="15"/>
      <c r="R13" s="15"/>
      <c r="S13" s="15"/>
      <c r="T13" s="15"/>
      <c r="U13" s="15"/>
      <c r="V13" s="15"/>
      <c r="W13" s="15"/>
      <c r="X13" s="15"/>
      <c r="Y13" s="15"/>
      <c r="Z13" s="15"/>
      <c r="AA13" s="15"/>
      <c r="AB13" s="15"/>
      <c r="AC13" s="15"/>
      <c r="AD13" s="15"/>
      <c r="AE13" s="15"/>
      <c r="AF13" s="15"/>
      <c r="AG13" s="15"/>
      <c r="AH13" s="15"/>
      <c r="AI13" s="15"/>
      <c r="AJ13" s="15"/>
      <c r="AK13" s="15"/>
      <c r="AL13" s="15"/>
      <c r="AM13" s="15"/>
      <c r="AN13" s="15"/>
      <c r="AO13" s="15"/>
      <c r="AP13" s="15"/>
      <c r="AQ13" s="15"/>
      <c r="AR13" s="15"/>
      <c r="AS13" s="15"/>
      <c r="AT13" s="15"/>
      <c r="AU13" s="15"/>
      <c r="AV13" s="15"/>
      <c r="AW13" s="15"/>
      <c r="AX13" s="15"/>
      <c r="AY13" s="15"/>
    </row>
    <row r="14" spans="1:51">
      <c r="A14" s="54"/>
      <c r="B14" s="53"/>
      <c r="C14" s="161"/>
      <c r="D14" s="51"/>
      <c r="E14" s="17"/>
      <c r="F14" s="52"/>
      <c r="G14" s="13"/>
      <c r="H14" s="13"/>
      <c r="I14" s="14"/>
      <c r="J14" s="13"/>
      <c r="K14" s="13"/>
      <c r="L14" s="13"/>
      <c r="M14" s="111"/>
      <c r="N14" s="45"/>
      <c r="O14" s="14"/>
      <c r="P14" s="15"/>
      <c r="Q14" s="15"/>
      <c r="R14" s="15"/>
      <c r="S14" s="15"/>
      <c r="T14" s="15"/>
      <c r="U14" s="15"/>
      <c r="V14" s="15"/>
      <c r="W14" s="15"/>
      <c r="X14" s="15"/>
      <c r="Y14" s="15"/>
      <c r="Z14" s="15"/>
      <c r="AA14" s="15"/>
      <c r="AB14" s="15"/>
      <c r="AC14" s="15"/>
      <c r="AD14" s="15"/>
      <c r="AE14" s="15"/>
      <c r="AF14" s="15"/>
      <c r="AG14" s="15"/>
      <c r="AH14" s="15"/>
      <c r="AI14" s="15"/>
      <c r="AJ14" s="15"/>
      <c r="AK14" s="15"/>
      <c r="AL14" s="15"/>
      <c r="AM14" s="15"/>
      <c r="AN14" s="15"/>
      <c r="AO14" s="15"/>
      <c r="AP14" s="15"/>
      <c r="AQ14" s="15"/>
      <c r="AR14" s="15"/>
      <c r="AS14" s="15"/>
      <c r="AT14" s="15"/>
      <c r="AU14" s="15"/>
      <c r="AV14" s="15"/>
      <c r="AW14" s="15"/>
      <c r="AX14" s="15"/>
      <c r="AY14" s="15"/>
    </row>
    <row r="15" spans="1:51">
      <c r="A15" s="54"/>
      <c r="B15" s="53"/>
      <c r="C15" s="161"/>
      <c r="D15" s="51"/>
      <c r="E15" s="17"/>
      <c r="F15" s="52"/>
      <c r="G15" s="13"/>
      <c r="H15" s="13"/>
      <c r="I15" s="14"/>
      <c r="J15" s="13"/>
      <c r="K15" s="13"/>
      <c r="L15" s="13"/>
      <c r="M15" s="111"/>
      <c r="N15" s="80"/>
      <c r="O15" s="18"/>
    </row>
    <row r="16" spans="1:51">
      <c r="A16" s="54"/>
      <c r="B16" s="53"/>
      <c r="C16" s="161"/>
      <c r="D16" s="51"/>
      <c r="E16" s="17"/>
      <c r="F16" s="52"/>
      <c r="G16" s="17"/>
      <c r="H16" s="13"/>
      <c r="I16" s="13"/>
      <c r="J16" s="13"/>
      <c r="K16" s="13"/>
      <c r="L16" s="19"/>
      <c r="M16" s="111"/>
      <c r="N16" s="80"/>
      <c r="O16" s="18"/>
    </row>
    <row r="17" spans="1:15">
      <c r="A17" s="54"/>
      <c r="B17" s="53"/>
      <c r="C17" s="161"/>
      <c r="D17" s="51"/>
      <c r="E17" s="17"/>
      <c r="F17" s="52"/>
      <c r="G17" s="17"/>
      <c r="H17" s="13"/>
      <c r="I17" s="13"/>
      <c r="J17" s="13"/>
      <c r="K17" s="13"/>
      <c r="L17" s="13"/>
      <c r="M17" s="111"/>
      <c r="N17" s="80"/>
      <c r="O17" s="18"/>
    </row>
    <row r="18" spans="1:15">
      <c r="A18" s="54"/>
      <c r="B18" s="53"/>
      <c r="C18" s="161"/>
      <c r="D18" s="51"/>
      <c r="E18" s="17"/>
      <c r="F18" s="52"/>
      <c r="G18" s="17"/>
      <c r="H18" s="13"/>
      <c r="I18" s="13"/>
      <c r="J18" s="13"/>
      <c r="K18" s="13"/>
      <c r="L18" s="19"/>
      <c r="M18" s="111"/>
      <c r="N18" s="80"/>
      <c r="O18" s="18"/>
    </row>
    <row r="19" spans="1:15">
      <c r="A19" s="54"/>
      <c r="B19" s="53"/>
      <c r="C19" s="161"/>
      <c r="D19" s="51"/>
      <c r="E19" s="21"/>
      <c r="F19" s="52"/>
      <c r="G19" s="21"/>
      <c r="H19" s="48"/>
      <c r="I19" s="13"/>
      <c r="J19" s="13"/>
      <c r="K19" s="13"/>
      <c r="L19" s="19"/>
      <c r="M19" s="111"/>
      <c r="N19" s="80"/>
      <c r="O19" s="18"/>
    </row>
    <row r="20" spans="1:15">
      <c r="A20" s="54"/>
      <c r="B20" s="53"/>
      <c r="C20" s="161"/>
      <c r="D20" s="51"/>
      <c r="E20" s="21"/>
      <c r="F20" s="52"/>
      <c r="G20" s="56"/>
      <c r="H20" s="13"/>
      <c r="I20" s="38"/>
      <c r="J20" s="13"/>
      <c r="K20" s="13"/>
      <c r="L20" s="19"/>
      <c r="M20" s="111"/>
      <c r="N20" s="80"/>
      <c r="O20" s="18"/>
    </row>
    <row r="21" spans="1:15">
      <c r="A21" s="54"/>
      <c r="B21" s="53"/>
      <c r="C21" s="161"/>
      <c r="D21" s="51"/>
      <c r="E21" s="21"/>
      <c r="F21" s="52"/>
      <c r="G21" s="56"/>
      <c r="H21" s="13"/>
      <c r="I21" s="38"/>
      <c r="J21" s="13"/>
      <c r="K21" s="13"/>
      <c r="L21" s="19"/>
      <c r="M21" s="111"/>
      <c r="N21" s="80"/>
      <c r="O21" s="18"/>
    </row>
    <row r="22" spans="1:15">
      <c r="A22" s="54"/>
      <c r="B22" s="53"/>
      <c r="C22" s="161"/>
      <c r="D22" s="51"/>
      <c r="E22" s="21"/>
      <c r="F22" s="52"/>
      <c r="G22" s="56"/>
      <c r="H22" s="13"/>
      <c r="I22" s="38"/>
      <c r="J22" s="13"/>
      <c r="K22" s="13"/>
      <c r="L22" s="19"/>
      <c r="M22" s="111"/>
      <c r="N22" s="80"/>
      <c r="O22" s="18"/>
    </row>
    <row r="23" spans="1:15">
      <c r="A23" s="54"/>
      <c r="B23" s="53"/>
      <c r="C23" s="161"/>
      <c r="D23" s="51"/>
      <c r="E23" s="21"/>
      <c r="F23" s="52"/>
      <c r="G23" s="56"/>
      <c r="H23" s="163"/>
      <c r="I23" s="38"/>
      <c r="J23" s="13"/>
      <c r="K23" s="13"/>
      <c r="L23" s="19"/>
      <c r="M23" s="111"/>
      <c r="N23" s="80"/>
      <c r="O23" s="18"/>
    </row>
    <row r="24" spans="1:15">
      <c r="A24" s="54"/>
      <c r="B24" s="53"/>
      <c r="C24" s="161"/>
      <c r="D24" s="51"/>
      <c r="E24" s="21"/>
      <c r="F24" s="52"/>
      <c r="G24" s="48"/>
      <c r="H24" s="37"/>
      <c r="I24" s="13"/>
      <c r="J24" s="13"/>
      <c r="K24" s="13"/>
      <c r="L24" s="19"/>
      <c r="M24" s="111"/>
      <c r="N24" s="80"/>
      <c r="O24" s="18"/>
    </row>
    <row r="25" spans="1:15">
      <c r="A25" s="54"/>
      <c r="B25" s="53"/>
      <c r="C25" s="161"/>
      <c r="D25" s="51"/>
      <c r="E25" s="21"/>
      <c r="F25" s="52"/>
      <c r="G25" s="13"/>
      <c r="H25" s="48"/>
      <c r="I25" s="38"/>
      <c r="J25" s="13"/>
      <c r="K25" s="13"/>
      <c r="L25" s="19"/>
      <c r="M25" s="111"/>
      <c r="N25" s="80"/>
      <c r="O25" s="18"/>
    </row>
    <row r="26" spans="1:15">
      <c r="A26" s="54"/>
      <c r="B26" s="53"/>
      <c r="C26" s="161"/>
      <c r="D26" s="51"/>
      <c r="E26" s="21"/>
      <c r="F26" s="52"/>
      <c r="G26" s="57"/>
      <c r="H26" s="13"/>
      <c r="I26" s="38"/>
      <c r="J26" s="13"/>
      <c r="K26" s="13"/>
      <c r="L26" s="19"/>
      <c r="M26" s="111"/>
      <c r="N26" s="80"/>
      <c r="O26" s="18"/>
    </row>
    <row r="27" spans="1:15">
      <c r="A27" s="54"/>
      <c r="B27" s="53"/>
      <c r="C27" s="161"/>
      <c r="D27" s="51"/>
      <c r="E27" s="21"/>
      <c r="F27" s="52"/>
      <c r="G27" s="56"/>
      <c r="H27" s="13"/>
      <c r="I27" s="38"/>
      <c r="J27" s="13"/>
      <c r="K27" s="13"/>
      <c r="L27" s="19"/>
      <c r="M27" s="111"/>
      <c r="N27" s="80"/>
      <c r="O27" s="18"/>
    </row>
    <row r="28" spans="1:15">
      <c r="A28" s="54"/>
      <c r="B28" s="53"/>
      <c r="C28" s="161"/>
      <c r="D28" s="51"/>
      <c r="E28" s="21"/>
      <c r="F28" s="52"/>
      <c r="G28" s="13"/>
      <c r="H28" s="37"/>
      <c r="I28" s="13"/>
      <c r="J28" s="13"/>
      <c r="K28" s="13"/>
      <c r="L28" s="19"/>
      <c r="M28" s="111"/>
      <c r="N28" s="80"/>
      <c r="O28" s="18"/>
    </row>
    <row r="29" spans="1:15">
      <c r="A29" s="54"/>
      <c r="B29" s="53"/>
      <c r="C29" s="161"/>
      <c r="D29" s="51"/>
      <c r="E29" s="21"/>
      <c r="F29" s="52"/>
      <c r="G29" s="56"/>
      <c r="H29" s="48"/>
      <c r="I29" s="38"/>
      <c r="J29" s="13"/>
      <c r="K29" s="13"/>
      <c r="L29" s="19"/>
      <c r="M29" s="111"/>
      <c r="N29" s="80"/>
      <c r="O29" s="18"/>
    </row>
    <row r="30" spans="1:15">
      <c r="A30" s="54"/>
      <c r="B30" s="53"/>
      <c r="C30" s="161"/>
      <c r="D30" s="51"/>
      <c r="E30" s="21"/>
      <c r="F30" s="52"/>
      <c r="G30" s="56"/>
      <c r="H30" s="13"/>
      <c r="I30" s="38"/>
      <c r="J30" s="13"/>
      <c r="K30" s="13"/>
      <c r="L30" s="19"/>
      <c r="M30" s="111"/>
      <c r="N30" s="80"/>
      <c r="O30" s="18"/>
    </row>
    <row r="31" spans="1:15">
      <c r="A31" s="54"/>
      <c r="B31" s="53"/>
      <c r="C31" s="161"/>
      <c r="D31" s="51"/>
      <c r="E31" s="21"/>
      <c r="F31" s="52"/>
      <c r="G31" s="56"/>
      <c r="H31" s="13"/>
      <c r="I31" s="38"/>
      <c r="J31" s="13"/>
      <c r="K31" s="13"/>
      <c r="L31" s="19"/>
      <c r="M31" s="111"/>
      <c r="N31" s="80"/>
      <c r="O31" s="18"/>
    </row>
    <row r="32" spans="1:15">
      <c r="A32" s="54"/>
      <c r="B32" s="53"/>
      <c r="C32" s="161"/>
      <c r="D32" s="51"/>
      <c r="E32" s="21"/>
      <c r="F32" s="52"/>
      <c r="G32" s="13"/>
      <c r="H32" s="37"/>
      <c r="I32" s="13"/>
      <c r="J32" s="13"/>
      <c r="K32" s="13"/>
      <c r="L32" s="19"/>
      <c r="M32" s="111"/>
      <c r="N32" s="80"/>
      <c r="O32" s="18"/>
    </row>
    <row r="33" spans="1:15">
      <c r="A33" s="54"/>
      <c r="B33" s="53"/>
      <c r="C33" s="161"/>
      <c r="D33" s="51"/>
      <c r="E33" s="21"/>
      <c r="F33" s="52"/>
      <c r="G33" s="56"/>
      <c r="H33" s="13"/>
      <c r="I33" s="38"/>
      <c r="J33" s="13"/>
      <c r="K33" s="13"/>
      <c r="L33" s="19"/>
      <c r="M33" s="111"/>
      <c r="N33" s="80"/>
      <c r="O33" s="18"/>
    </row>
    <row r="34" spans="1:15">
      <c r="A34" s="54"/>
      <c r="B34" s="53"/>
      <c r="C34" s="161"/>
      <c r="D34" s="51"/>
      <c r="E34" s="21"/>
      <c r="F34" s="52"/>
      <c r="G34" s="56"/>
      <c r="H34" s="13"/>
      <c r="I34" s="38"/>
      <c r="J34" s="13"/>
      <c r="K34" s="13"/>
      <c r="L34" s="19"/>
      <c r="M34" s="111"/>
      <c r="N34" s="80"/>
      <c r="O34" s="18"/>
    </row>
    <row r="35" spans="1:15">
      <c r="A35" s="54"/>
      <c r="B35" s="53"/>
      <c r="C35" s="161"/>
      <c r="D35" s="51"/>
      <c r="E35" s="21"/>
      <c r="F35" s="52"/>
      <c r="G35" s="56"/>
      <c r="H35" s="13"/>
      <c r="I35" s="38"/>
      <c r="J35" s="13"/>
      <c r="K35" s="13"/>
      <c r="L35" s="19"/>
      <c r="M35" s="111"/>
      <c r="N35" s="80"/>
      <c r="O35" s="18"/>
    </row>
    <row r="36" spans="1:15">
      <c r="A36" s="54"/>
      <c r="B36" s="53"/>
      <c r="C36" s="161"/>
      <c r="D36" s="51"/>
      <c r="E36" s="21"/>
      <c r="F36" s="52"/>
      <c r="G36" s="56"/>
      <c r="H36" s="13"/>
      <c r="I36" s="38"/>
      <c r="J36" s="13"/>
      <c r="K36" s="13"/>
      <c r="L36" s="19"/>
      <c r="M36" s="111"/>
      <c r="N36" s="80"/>
      <c r="O36" s="18"/>
    </row>
    <row r="37" spans="1:15">
      <c r="A37" s="54"/>
      <c r="B37" s="53"/>
      <c r="C37" s="161"/>
      <c r="D37" s="51"/>
      <c r="E37" s="21"/>
      <c r="F37" s="52"/>
      <c r="G37" s="56"/>
      <c r="H37" s="13"/>
      <c r="I37" s="38"/>
      <c r="J37" s="13"/>
      <c r="K37" s="13"/>
      <c r="L37" s="19"/>
      <c r="M37" s="111"/>
      <c r="N37" s="80"/>
      <c r="O37" s="18"/>
    </row>
    <row r="38" spans="1:15">
      <c r="A38" s="54"/>
      <c r="B38" s="53"/>
      <c r="C38" s="161"/>
      <c r="D38" s="51"/>
      <c r="E38" s="22"/>
      <c r="F38" s="52"/>
      <c r="G38" s="13"/>
      <c r="H38" s="13"/>
      <c r="I38" s="38"/>
      <c r="J38" s="13"/>
      <c r="K38" s="13"/>
      <c r="L38" s="19"/>
      <c r="M38" s="111"/>
      <c r="N38" s="80"/>
      <c r="O38" s="18"/>
    </row>
    <row r="39" spans="1:15">
      <c r="A39" s="54"/>
      <c r="B39" s="53"/>
      <c r="C39" s="161"/>
      <c r="D39" s="51"/>
      <c r="E39" s="19"/>
      <c r="F39" s="52"/>
      <c r="G39" s="13"/>
      <c r="H39" s="13"/>
      <c r="I39" s="38"/>
      <c r="J39" s="13"/>
      <c r="K39" s="13"/>
      <c r="L39" s="19"/>
      <c r="M39" s="111"/>
      <c r="N39" s="80"/>
      <c r="O39" s="18"/>
    </row>
    <row r="40" spans="1:15">
      <c r="A40" s="54"/>
      <c r="B40" s="53"/>
      <c r="C40" s="161"/>
      <c r="D40" s="51"/>
      <c r="E40" s="21"/>
      <c r="F40" s="52"/>
      <c r="G40" s="13"/>
      <c r="H40" s="13"/>
      <c r="I40" s="38"/>
      <c r="J40" s="13"/>
      <c r="K40" s="13"/>
      <c r="L40" s="19"/>
      <c r="M40" s="111"/>
      <c r="N40" s="80"/>
      <c r="O40" s="18"/>
    </row>
    <row r="41" spans="1:15">
      <c r="A41" s="54"/>
      <c r="B41" s="53"/>
      <c r="C41" s="161"/>
      <c r="D41" s="51"/>
      <c r="E41" s="21"/>
      <c r="F41" s="52"/>
      <c r="G41" s="13"/>
      <c r="H41" s="13"/>
      <c r="I41" s="38"/>
      <c r="J41" s="13"/>
      <c r="K41" s="13"/>
      <c r="L41" s="19"/>
      <c r="M41" s="111"/>
      <c r="N41" s="80"/>
      <c r="O41" s="18"/>
    </row>
    <row r="42" spans="1:15">
      <c r="A42" s="54"/>
      <c r="B42" s="53"/>
      <c r="C42" s="161"/>
      <c r="D42" s="51"/>
      <c r="E42" s="22"/>
      <c r="F42" s="52"/>
      <c r="G42" s="21"/>
      <c r="H42" s="13"/>
      <c r="I42" s="38"/>
      <c r="J42" s="13"/>
      <c r="K42" s="13"/>
      <c r="L42" s="19"/>
      <c r="M42" s="111"/>
      <c r="N42" s="80"/>
      <c r="O42" s="18"/>
    </row>
    <row r="43" spans="1:15">
      <c r="A43" s="54"/>
      <c r="B43" s="53"/>
      <c r="C43" s="161"/>
      <c r="D43" s="51"/>
      <c r="E43" s="39"/>
      <c r="F43" s="52"/>
      <c r="G43" s="46"/>
      <c r="H43" s="13"/>
      <c r="I43" s="38"/>
      <c r="J43" s="13"/>
      <c r="K43" s="13"/>
      <c r="L43" s="19"/>
      <c r="M43" s="111"/>
      <c r="N43" s="80"/>
      <c r="O43" s="18"/>
    </row>
    <row r="44" spans="1:15">
      <c r="A44" s="54"/>
      <c r="B44" s="53"/>
      <c r="C44" s="161"/>
      <c r="D44" s="51"/>
      <c r="E44" s="19"/>
      <c r="F44" s="52"/>
      <c r="G44" s="19"/>
      <c r="H44" s="13"/>
      <c r="I44" s="38"/>
      <c r="J44" s="13"/>
      <c r="K44" s="13"/>
      <c r="L44" s="19"/>
      <c r="M44" s="111"/>
      <c r="N44" s="80"/>
      <c r="O44" s="18"/>
    </row>
    <row r="45" spans="1:15">
      <c r="A45" s="54"/>
      <c r="B45" s="53"/>
      <c r="C45" s="161"/>
      <c r="D45" s="51"/>
      <c r="E45" s="22"/>
      <c r="F45" s="52"/>
      <c r="G45" s="59"/>
      <c r="H45" s="13"/>
      <c r="I45" s="38"/>
      <c r="J45" s="13"/>
      <c r="K45" s="13"/>
      <c r="L45" s="19"/>
      <c r="M45" s="111"/>
      <c r="N45" s="80"/>
      <c r="O45" s="18"/>
    </row>
    <row r="46" spans="1:15">
      <c r="A46" s="54"/>
      <c r="B46" s="53"/>
      <c r="C46" s="161"/>
      <c r="D46" s="51"/>
      <c r="E46" s="19"/>
      <c r="F46" s="52"/>
      <c r="G46" s="39"/>
      <c r="H46" s="13"/>
      <c r="I46" s="38"/>
      <c r="J46" s="13"/>
      <c r="K46" s="13"/>
      <c r="L46" s="19"/>
      <c r="M46" s="111"/>
      <c r="N46" s="80"/>
      <c r="O46" s="18"/>
    </row>
    <row r="47" spans="1:15">
      <c r="A47" s="54"/>
      <c r="B47" s="53"/>
      <c r="C47" s="161"/>
      <c r="D47" s="51"/>
      <c r="E47" s="22"/>
      <c r="F47" s="52"/>
      <c r="G47" s="19"/>
      <c r="H47" s="13"/>
      <c r="I47" s="38"/>
      <c r="J47" s="13"/>
      <c r="K47" s="13"/>
      <c r="L47" s="19"/>
      <c r="M47" s="111"/>
      <c r="N47" s="80"/>
      <c r="O47" s="18"/>
    </row>
    <row r="48" spans="1:15">
      <c r="A48" s="54"/>
      <c r="B48" s="53"/>
      <c r="C48" s="161"/>
      <c r="D48" s="51"/>
      <c r="E48" s="60"/>
      <c r="F48" s="52"/>
      <c r="G48" s="46"/>
      <c r="H48" s="13"/>
      <c r="I48" s="38"/>
      <c r="J48" s="13"/>
      <c r="K48" s="13"/>
      <c r="L48" s="19"/>
      <c r="M48" s="111"/>
      <c r="N48" s="80"/>
      <c r="O48" s="18"/>
    </row>
    <row r="49" spans="1:15">
      <c r="A49" s="49"/>
      <c r="B49" s="14"/>
      <c r="C49" s="161"/>
      <c r="D49" s="51"/>
      <c r="E49" s="13"/>
      <c r="F49" s="52"/>
      <c r="G49" s="13"/>
      <c r="H49" s="14"/>
      <c r="I49" s="14"/>
      <c r="J49" s="14"/>
      <c r="K49" s="45"/>
      <c r="L49" s="19"/>
      <c r="M49" s="111"/>
      <c r="N49" s="80"/>
      <c r="O49" s="18"/>
    </row>
    <row r="50" spans="1:15">
      <c r="A50" s="54"/>
      <c r="B50" s="53"/>
      <c r="C50" s="161"/>
      <c r="D50" s="14"/>
      <c r="E50" s="46"/>
      <c r="F50" s="52"/>
      <c r="G50" s="13"/>
      <c r="H50" s="14"/>
      <c r="I50" s="14"/>
      <c r="J50" s="14"/>
      <c r="K50" s="45"/>
      <c r="L50" s="19"/>
      <c r="M50" s="111"/>
      <c r="N50" s="80"/>
      <c r="O50" s="18"/>
    </row>
    <row r="51" spans="1:15">
      <c r="A51" s="54"/>
      <c r="B51" s="53"/>
      <c r="C51" s="161"/>
      <c r="D51" s="45"/>
      <c r="E51" s="19"/>
      <c r="F51" s="52"/>
      <c r="G51" s="13"/>
      <c r="H51" s="14"/>
      <c r="I51" s="14"/>
      <c r="J51" s="14"/>
      <c r="K51" s="45"/>
      <c r="L51" s="19"/>
      <c r="M51" s="111"/>
      <c r="N51" s="80"/>
      <c r="O51" s="18"/>
    </row>
    <row r="52" spans="1:15">
      <c r="A52" s="54"/>
      <c r="B52" s="53"/>
      <c r="C52" s="161"/>
      <c r="D52" s="61"/>
      <c r="E52" s="46"/>
      <c r="F52" s="52"/>
      <c r="G52" s="13"/>
      <c r="H52" s="14"/>
      <c r="I52" s="14"/>
      <c r="J52" s="14"/>
      <c r="K52" s="45"/>
      <c r="L52" s="19"/>
      <c r="M52" s="111"/>
      <c r="N52" s="80"/>
      <c r="O52" s="18"/>
    </row>
    <row r="53" spans="1:15">
      <c r="A53" s="54"/>
      <c r="B53" s="53"/>
      <c r="C53" s="161"/>
      <c r="D53" s="19"/>
      <c r="E53" s="19"/>
      <c r="F53" s="52"/>
      <c r="G53" s="19"/>
      <c r="H53" s="14"/>
      <c r="I53" s="14"/>
      <c r="J53" s="14"/>
      <c r="K53" s="14"/>
      <c r="L53" s="13"/>
      <c r="M53" s="111"/>
      <c r="N53" s="80"/>
      <c r="O53" s="18"/>
    </row>
    <row r="54" spans="1:15">
      <c r="A54" s="54"/>
      <c r="B54" s="53"/>
      <c r="C54" s="161"/>
      <c r="D54" s="53"/>
      <c r="E54" s="46"/>
      <c r="F54" s="52"/>
      <c r="G54" s="46"/>
      <c r="H54" s="14"/>
      <c r="I54" s="14"/>
      <c r="J54" s="14"/>
      <c r="K54" s="14"/>
      <c r="L54" s="39"/>
      <c r="M54" s="111"/>
      <c r="N54" s="80"/>
      <c r="O54" s="18"/>
    </row>
    <row r="55" spans="1:15">
      <c r="A55" s="54"/>
      <c r="B55" s="53"/>
      <c r="C55" s="161"/>
      <c r="D55" s="45"/>
      <c r="E55" s="62"/>
      <c r="F55" s="52"/>
      <c r="G55" s="62"/>
      <c r="H55" s="14"/>
      <c r="I55" s="14"/>
      <c r="J55" s="14"/>
      <c r="K55" s="14"/>
      <c r="L55" s="39"/>
      <c r="M55" s="111"/>
      <c r="N55" s="80"/>
      <c r="O55" s="18"/>
    </row>
    <row r="56" spans="1:15">
      <c r="A56" s="54"/>
      <c r="B56" s="53"/>
      <c r="C56" s="161"/>
      <c r="D56" s="14"/>
      <c r="E56" s="63"/>
      <c r="F56" s="52"/>
      <c r="G56" s="46"/>
      <c r="H56" s="14"/>
      <c r="I56" s="14"/>
      <c r="J56" s="14"/>
      <c r="K56" s="14"/>
      <c r="L56" s="39"/>
      <c r="M56" s="111"/>
      <c r="N56" s="80"/>
      <c r="O56" s="18"/>
    </row>
    <row r="57" spans="1:15">
      <c r="A57" s="54"/>
      <c r="B57" s="53"/>
      <c r="C57" s="161"/>
      <c r="D57" s="45"/>
      <c r="E57" s="62"/>
      <c r="F57" s="52"/>
      <c r="G57" s="62"/>
      <c r="H57" s="14"/>
      <c r="I57" s="14"/>
      <c r="J57" s="14"/>
      <c r="K57" s="14"/>
      <c r="L57" s="39"/>
      <c r="M57" s="111"/>
      <c r="N57" s="80"/>
      <c r="O57" s="18"/>
    </row>
    <row r="58" spans="1:15">
      <c r="A58" s="54"/>
      <c r="B58" s="53"/>
      <c r="C58" s="161"/>
      <c r="D58" s="14"/>
      <c r="E58" s="63"/>
      <c r="F58" s="52"/>
      <c r="G58" s="63"/>
      <c r="H58" s="14"/>
      <c r="I58" s="14"/>
      <c r="J58" s="14"/>
      <c r="K58" s="13"/>
      <c r="L58" s="39"/>
      <c r="M58" s="111"/>
      <c r="N58" s="80"/>
      <c r="O58" s="18"/>
    </row>
    <row r="59" spans="1:15">
      <c r="A59" s="54"/>
      <c r="B59" s="53"/>
      <c r="C59" s="161"/>
      <c r="D59" s="45"/>
      <c r="E59" s="39"/>
      <c r="F59" s="52"/>
      <c r="G59" s="19"/>
      <c r="H59" s="14"/>
      <c r="I59" s="14"/>
      <c r="J59" s="14"/>
      <c r="K59" s="13"/>
      <c r="L59" s="39"/>
      <c r="M59" s="111"/>
      <c r="N59" s="80"/>
      <c r="O59" s="18"/>
    </row>
    <row r="60" spans="1:15">
      <c r="A60" s="54"/>
      <c r="B60" s="64"/>
      <c r="C60" s="161"/>
      <c r="D60" s="65"/>
      <c r="E60" s="60"/>
      <c r="F60" s="52"/>
      <c r="G60" s="46"/>
      <c r="H60" s="13"/>
      <c r="I60" s="38"/>
      <c r="J60" s="13"/>
      <c r="K60" s="13"/>
      <c r="L60" s="39"/>
      <c r="M60" s="111"/>
      <c r="N60" s="80"/>
      <c r="O60" s="18"/>
    </row>
    <row r="61" spans="1:15">
      <c r="A61" s="54"/>
      <c r="B61" s="66"/>
      <c r="C61" s="161"/>
      <c r="D61" s="67"/>
      <c r="E61" s="19"/>
      <c r="F61" s="52"/>
      <c r="G61" s="19"/>
      <c r="H61" s="14"/>
      <c r="I61" s="14"/>
      <c r="J61" s="14"/>
      <c r="K61" s="13"/>
      <c r="L61" s="39"/>
      <c r="M61" s="111"/>
      <c r="N61" s="80"/>
      <c r="O61" s="18"/>
    </row>
    <row r="62" spans="1:15">
      <c r="A62" s="54"/>
      <c r="B62" s="66"/>
      <c r="C62" s="162"/>
      <c r="D62" s="69"/>
      <c r="E62" s="39"/>
      <c r="F62" s="52"/>
      <c r="G62" s="19"/>
      <c r="H62" s="14"/>
      <c r="I62" s="14"/>
      <c r="J62" s="14"/>
      <c r="K62" s="14"/>
      <c r="L62" s="13"/>
      <c r="M62" s="111"/>
      <c r="N62" s="80"/>
      <c r="O62" s="18"/>
    </row>
    <row r="63" spans="1:15">
      <c r="A63" s="54"/>
      <c r="B63" s="66"/>
      <c r="C63" s="162"/>
      <c r="D63" s="69"/>
      <c r="E63" s="19"/>
      <c r="F63" s="52"/>
      <c r="G63" s="46"/>
      <c r="H63" s="14"/>
      <c r="I63" s="14"/>
      <c r="J63" s="14"/>
      <c r="K63" s="14"/>
      <c r="L63" s="13"/>
      <c r="M63" s="111"/>
      <c r="N63" s="80"/>
      <c r="O63" s="18"/>
    </row>
    <row r="64" spans="1:15">
      <c r="A64" s="54"/>
      <c r="B64" s="66"/>
      <c r="C64" s="162"/>
      <c r="D64" s="28"/>
      <c r="E64" s="46"/>
      <c r="F64" s="52"/>
      <c r="G64" s="19"/>
      <c r="H64" s="14"/>
      <c r="I64" s="14"/>
      <c r="J64" s="14"/>
      <c r="K64" s="14"/>
      <c r="L64" s="19"/>
      <c r="M64" s="111"/>
      <c r="N64" s="80"/>
      <c r="O64" s="18"/>
    </row>
    <row r="65" spans="1:15">
      <c r="A65" s="54"/>
      <c r="B65" s="66"/>
      <c r="C65" s="162"/>
      <c r="D65" s="69"/>
      <c r="E65" s="39"/>
      <c r="F65" s="52"/>
      <c r="G65" s="46"/>
      <c r="H65" s="14"/>
      <c r="I65" s="14"/>
      <c r="J65" s="14"/>
      <c r="K65" s="14"/>
      <c r="L65" s="19"/>
      <c r="M65" s="111"/>
      <c r="N65" s="80"/>
      <c r="O65" s="18"/>
    </row>
    <row r="66" spans="1:15">
      <c r="A66" s="54"/>
      <c r="B66" s="66"/>
      <c r="C66" s="162"/>
      <c r="D66" s="69"/>
      <c r="E66" s="19"/>
      <c r="F66" s="52"/>
      <c r="G66" s="19"/>
      <c r="H66" s="14"/>
      <c r="I66" s="14"/>
      <c r="J66" s="14"/>
      <c r="K66" s="14"/>
      <c r="L66" s="19"/>
      <c r="M66" s="111"/>
      <c r="N66" s="80"/>
      <c r="O66" s="18"/>
    </row>
    <row r="67" spans="1:15">
      <c r="A67" s="54"/>
      <c r="B67" s="66"/>
      <c r="C67" s="161"/>
      <c r="D67" s="69"/>
      <c r="E67" s="19"/>
      <c r="F67" s="52"/>
      <c r="G67" s="19"/>
      <c r="H67" s="14"/>
      <c r="I67" s="14"/>
      <c r="J67" s="14"/>
      <c r="K67" s="13"/>
      <c r="L67" s="19"/>
      <c r="M67" s="111"/>
      <c r="N67" s="80"/>
      <c r="O67" s="18"/>
    </row>
    <row r="68" spans="1:15">
      <c r="A68" s="54"/>
      <c r="B68" s="66"/>
      <c r="C68" s="161"/>
      <c r="D68" s="69"/>
      <c r="E68" s="39"/>
      <c r="F68" s="52"/>
      <c r="G68" s="39"/>
      <c r="H68" s="14"/>
      <c r="I68" s="14"/>
      <c r="J68" s="14"/>
      <c r="K68" s="13"/>
      <c r="L68" s="19"/>
      <c r="M68" s="111"/>
      <c r="N68" s="80"/>
      <c r="O68" s="18"/>
    </row>
    <row r="69" spans="1:15">
      <c r="A69" s="54"/>
      <c r="B69" s="66"/>
      <c r="C69" s="161"/>
      <c r="D69" s="69"/>
      <c r="E69" s="19"/>
      <c r="F69" s="52"/>
      <c r="G69" s="39"/>
      <c r="H69" s="28"/>
      <c r="I69" s="14"/>
      <c r="J69" s="14"/>
      <c r="K69" s="13"/>
      <c r="L69" s="19"/>
      <c r="M69" s="111"/>
      <c r="N69" s="80"/>
      <c r="O69" s="18"/>
    </row>
    <row r="70" spans="1:15">
      <c r="A70" s="54"/>
      <c r="B70" s="66"/>
      <c r="C70" s="161"/>
      <c r="D70" s="14"/>
      <c r="E70" s="46"/>
      <c r="F70" s="52"/>
      <c r="G70" s="39"/>
      <c r="H70" s="47"/>
      <c r="I70" s="14"/>
      <c r="J70" s="14"/>
      <c r="K70" s="13"/>
      <c r="L70" s="19"/>
      <c r="M70" s="111"/>
      <c r="N70" s="80"/>
      <c r="O70" s="18"/>
    </row>
    <row r="71" spans="1:15">
      <c r="A71" s="54"/>
      <c r="B71" s="66"/>
      <c r="C71" s="161"/>
      <c r="D71" s="45"/>
      <c r="E71" s="19"/>
      <c r="F71" s="52"/>
      <c r="G71" s="39"/>
      <c r="H71" s="28"/>
      <c r="I71" s="28"/>
      <c r="J71" s="14"/>
      <c r="K71" s="13"/>
      <c r="L71" s="19"/>
      <c r="M71" s="111"/>
      <c r="N71" s="80"/>
      <c r="O71" s="18"/>
    </row>
    <row r="72" spans="1:15">
      <c r="A72" s="54"/>
      <c r="B72" s="66"/>
      <c r="C72" s="161"/>
      <c r="D72" s="14"/>
      <c r="E72" s="46"/>
      <c r="F72" s="52"/>
      <c r="G72" s="19"/>
      <c r="H72" s="47"/>
      <c r="I72" s="14"/>
      <c r="J72" s="14"/>
      <c r="K72" s="13"/>
      <c r="L72" s="19"/>
      <c r="M72" s="111"/>
      <c r="N72" s="80"/>
      <c r="O72" s="18"/>
    </row>
    <row r="73" spans="1:15">
      <c r="A73" s="54"/>
      <c r="B73" s="66"/>
      <c r="C73" s="161"/>
      <c r="D73" s="45"/>
      <c r="E73" s="39"/>
      <c r="F73" s="52"/>
      <c r="G73" s="39"/>
      <c r="H73" s="47"/>
      <c r="I73" s="14"/>
      <c r="J73" s="14"/>
      <c r="K73" s="13"/>
      <c r="L73" s="19"/>
      <c r="M73" s="111"/>
      <c r="N73" s="80"/>
      <c r="O73" s="18"/>
    </row>
    <row r="74" spans="1:15">
      <c r="A74" s="54"/>
      <c r="B74" s="66"/>
      <c r="C74" s="161"/>
      <c r="D74" s="45"/>
      <c r="E74" s="19"/>
      <c r="F74" s="52"/>
      <c r="G74" s="19"/>
      <c r="H74" s="47"/>
      <c r="I74" s="14"/>
      <c r="J74" s="14"/>
      <c r="K74" s="13"/>
      <c r="L74" s="19"/>
      <c r="M74" s="111"/>
      <c r="N74" s="80"/>
      <c r="O74" s="18"/>
    </row>
    <row r="75" spans="1:15">
      <c r="A75" s="54"/>
      <c r="B75" s="66"/>
      <c r="C75" s="161"/>
      <c r="D75" s="45"/>
      <c r="E75" s="39"/>
      <c r="F75" s="52"/>
      <c r="G75" s="19"/>
      <c r="H75" s="47"/>
      <c r="I75" s="14"/>
      <c r="J75" s="14"/>
      <c r="K75" s="13"/>
      <c r="L75" s="19"/>
      <c r="M75" s="111"/>
      <c r="N75" s="80"/>
      <c r="O75" s="18"/>
    </row>
    <row r="76" spans="1:15">
      <c r="A76" s="54"/>
      <c r="B76" s="66"/>
      <c r="C76" s="161"/>
      <c r="D76" s="45"/>
      <c r="E76" s="19"/>
      <c r="F76" s="52"/>
      <c r="G76" s="19"/>
      <c r="H76" s="47"/>
      <c r="I76" s="14"/>
      <c r="J76" s="14"/>
      <c r="K76" s="13"/>
      <c r="L76" s="19"/>
      <c r="M76" s="111"/>
      <c r="N76" s="80"/>
      <c r="O76" s="18"/>
    </row>
    <row r="77" spans="1:15">
      <c r="A77" s="54"/>
      <c r="B77" s="66"/>
      <c r="C77" s="161"/>
      <c r="D77" s="14"/>
      <c r="E77" s="46"/>
      <c r="F77" s="52"/>
      <c r="G77" s="19"/>
      <c r="H77" s="47"/>
      <c r="I77" s="14"/>
      <c r="J77" s="14"/>
      <c r="K77" s="13"/>
      <c r="L77" s="19"/>
      <c r="M77" s="111"/>
      <c r="N77" s="80"/>
      <c r="O77" s="18"/>
    </row>
    <row r="78" spans="1:15">
      <c r="A78" s="54"/>
      <c r="B78" s="66"/>
      <c r="C78" s="161"/>
      <c r="D78" s="45"/>
      <c r="E78" s="39"/>
      <c r="F78" s="52"/>
      <c r="G78" s="19"/>
      <c r="H78" s="47"/>
      <c r="I78" s="14"/>
      <c r="J78" s="14"/>
      <c r="K78" s="13"/>
      <c r="L78" s="19"/>
      <c r="M78" s="111"/>
      <c r="N78" s="80"/>
      <c r="O78" s="18"/>
    </row>
    <row r="79" spans="1:15">
      <c r="A79" s="54"/>
      <c r="B79" s="66"/>
      <c r="C79" s="161"/>
      <c r="D79" s="45"/>
      <c r="E79" s="39"/>
      <c r="F79" s="52"/>
      <c r="G79" s="19"/>
      <c r="H79" s="47"/>
      <c r="I79" s="14"/>
      <c r="J79" s="14"/>
      <c r="K79" s="13"/>
      <c r="L79" s="19"/>
      <c r="M79" s="111"/>
      <c r="N79" s="80"/>
      <c r="O79" s="18"/>
    </row>
    <row r="80" spans="1:15">
      <c r="A80" s="54"/>
      <c r="B80" s="66"/>
      <c r="C80" s="161"/>
      <c r="D80" s="45"/>
      <c r="E80" s="19"/>
      <c r="F80" s="52"/>
      <c r="G80" s="19"/>
      <c r="H80" s="47"/>
      <c r="I80" s="14"/>
      <c r="J80" s="14"/>
      <c r="K80" s="13"/>
      <c r="L80" s="118"/>
      <c r="M80" s="111"/>
      <c r="N80" s="80"/>
      <c r="O80" s="18"/>
    </row>
    <row r="81" spans="1:15">
      <c r="A81" s="54"/>
      <c r="B81" s="66"/>
      <c r="C81" s="161"/>
      <c r="D81" s="45"/>
      <c r="E81" s="19"/>
      <c r="F81" s="52"/>
      <c r="G81" s="19"/>
      <c r="H81" s="47"/>
      <c r="I81" s="14"/>
      <c r="J81" s="14"/>
      <c r="K81" s="13"/>
      <c r="L81" s="19"/>
      <c r="M81" s="111"/>
      <c r="N81" s="80"/>
      <c r="O81" s="18"/>
    </row>
    <row r="82" spans="1:15">
      <c r="A82" s="54"/>
      <c r="B82" s="66"/>
      <c r="C82" s="161"/>
      <c r="D82" s="45"/>
      <c r="E82" s="19"/>
      <c r="F82" s="52"/>
      <c r="G82" s="19"/>
      <c r="H82" s="47"/>
      <c r="I82" s="14"/>
      <c r="J82" s="14"/>
      <c r="K82" s="13"/>
      <c r="L82" s="19"/>
      <c r="M82" s="111"/>
      <c r="N82" s="80"/>
      <c r="O82" s="18"/>
    </row>
    <row r="83" spans="1:15">
      <c r="A83" s="54"/>
      <c r="B83" s="66"/>
      <c r="C83" s="161"/>
      <c r="D83" s="45"/>
      <c r="E83" s="19"/>
      <c r="F83" s="52"/>
      <c r="G83" s="19"/>
      <c r="H83" s="47"/>
      <c r="I83" s="14"/>
      <c r="J83" s="14"/>
      <c r="K83" s="13"/>
      <c r="L83" s="19"/>
      <c r="M83" s="111"/>
      <c r="N83" s="80"/>
      <c r="O83" s="18"/>
    </row>
    <row r="84" spans="1:15">
      <c r="A84" s="54"/>
      <c r="B84" s="66"/>
      <c r="C84" s="161"/>
      <c r="D84" s="45"/>
      <c r="E84" s="19"/>
      <c r="F84" s="52"/>
      <c r="G84" s="19"/>
      <c r="H84" s="47"/>
      <c r="I84" s="14"/>
      <c r="J84" s="14"/>
      <c r="K84" s="13"/>
      <c r="L84" s="19"/>
      <c r="M84" s="111"/>
      <c r="N84" s="80"/>
      <c r="O84" s="18"/>
    </row>
    <row r="85" spans="1:15">
      <c r="A85" s="54"/>
      <c r="B85" s="66"/>
      <c r="C85" s="161"/>
      <c r="D85" s="45"/>
      <c r="E85" s="136"/>
      <c r="F85" s="84"/>
      <c r="G85" s="39"/>
      <c r="H85" s="47"/>
      <c r="I85" s="14"/>
      <c r="J85" s="14"/>
      <c r="K85" s="13"/>
      <c r="L85" s="19"/>
      <c r="M85" s="111"/>
      <c r="N85" s="80"/>
      <c r="O85" s="18"/>
    </row>
    <row r="86" spans="1:15">
      <c r="A86" s="54"/>
      <c r="B86" s="66"/>
      <c r="C86" s="161"/>
      <c r="D86" s="146"/>
      <c r="E86" s="147"/>
      <c r="F86" s="131"/>
      <c r="G86" s="83"/>
      <c r="H86" s="47"/>
      <c r="I86" s="14"/>
      <c r="J86" s="14"/>
      <c r="K86" s="13"/>
      <c r="L86" s="19"/>
      <c r="M86" s="111"/>
      <c r="N86" s="80"/>
      <c r="O86" s="82"/>
    </row>
    <row r="87" spans="1:15">
      <c r="A87" s="54"/>
      <c r="B87" s="14"/>
      <c r="C87" s="56"/>
      <c r="D87" s="14"/>
      <c r="E87" s="148"/>
      <c r="F87" s="17"/>
      <c r="G87" s="149"/>
      <c r="H87" s="13"/>
      <c r="I87" s="13"/>
      <c r="J87" s="13"/>
      <c r="K87" s="13"/>
      <c r="L87" s="13"/>
      <c r="M87" s="112"/>
      <c r="N87" s="80"/>
      <c r="O87" s="18"/>
    </row>
    <row r="88" spans="1:15">
      <c r="A88" s="54"/>
      <c r="B88" s="14"/>
      <c r="C88" s="56"/>
      <c r="D88" s="14"/>
      <c r="E88" s="150"/>
      <c r="F88" s="17"/>
      <c r="G88" s="150"/>
      <c r="H88" s="151"/>
      <c r="I88" s="13"/>
      <c r="J88" s="13"/>
      <c r="K88" s="13"/>
      <c r="L88" s="13"/>
      <c r="M88" s="112"/>
      <c r="N88" s="80"/>
      <c r="O88" s="18"/>
    </row>
    <row r="89" spans="1:15">
      <c r="A89" s="54"/>
      <c r="B89" s="14"/>
      <c r="C89" s="56"/>
      <c r="D89" s="14"/>
      <c r="E89" s="150"/>
      <c r="F89" s="17"/>
      <c r="G89" s="150"/>
      <c r="H89" s="151"/>
      <c r="I89" s="13"/>
      <c r="J89" s="13"/>
      <c r="K89" s="13"/>
      <c r="L89" s="13"/>
      <c r="M89" s="112"/>
      <c r="N89" s="80"/>
      <c r="O89" s="18"/>
    </row>
    <row r="90" spans="1:15">
      <c r="A90" s="54"/>
      <c r="B90" s="14"/>
      <c r="C90" s="56"/>
      <c r="D90" s="14"/>
      <c r="E90" s="148"/>
      <c r="F90" s="17"/>
      <c r="G90" s="149"/>
      <c r="H90" s="13"/>
      <c r="I90" s="13"/>
      <c r="J90" s="13"/>
      <c r="K90" s="13"/>
      <c r="L90" s="13"/>
      <c r="M90" s="112"/>
      <c r="N90" s="80"/>
      <c r="O90" s="18"/>
    </row>
    <row r="91" spans="1:15">
      <c r="A91" s="54"/>
      <c r="B91" s="14"/>
      <c r="C91" s="56"/>
      <c r="D91" s="14"/>
      <c r="E91" s="150"/>
      <c r="F91" s="17"/>
      <c r="G91" s="149"/>
      <c r="H91" s="151"/>
      <c r="I91" s="13"/>
      <c r="J91" s="13"/>
      <c r="K91" s="13"/>
      <c r="L91" s="13"/>
      <c r="M91" s="112"/>
      <c r="N91" s="80"/>
      <c r="O91" s="18"/>
    </row>
    <row r="92" spans="1:15">
      <c r="A92" s="54"/>
      <c r="B92" s="14"/>
      <c r="C92" s="56"/>
      <c r="D92" s="14"/>
      <c r="E92" s="150"/>
      <c r="F92" s="17"/>
      <c r="G92" s="149"/>
      <c r="H92" s="151"/>
      <c r="I92" s="13"/>
      <c r="J92" s="13"/>
      <c r="K92" s="13"/>
      <c r="L92" s="13"/>
      <c r="M92" s="112"/>
      <c r="N92" s="80"/>
      <c r="O92" s="18"/>
    </row>
    <row r="93" spans="1:15">
      <c r="A93" s="54"/>
      <c r="B93" s="14"/>
      <c r="C93" s="56"/>
      <c r="D93" s="14"/>
      <c r="E93" s="148"/>
      <c r="F93" s="17"/>
      <c r="G93" s="149"/>
      <c r="H93" s="13"/>
      <c r="I93" s="13"/>
      <c r="J93" s="13"/>
      <c r="K93" s="13"/>
      <c r="L93" s="13"/>
      <c r="M93" s="112"/>
      <c r="N93" s="80"/>
      <c r="O93" s="18"/>
    </row>
    <row r="94" spans="1:15">
      <c r="A94" s="54"/>
      <c r="B94" s="14"/>
      <c r="C94" s="56"/>
      <c r="D94" s="14"/>
      <c r="E94" s="150"/>
      <c r="F94" s="17"/>
      <c r="G94" s="149"/>
      <c r="H94" s="151"/>
      <c r="I94" s="13"/>
      <c r="J94" s="13"/>
      <c r="K94" s="13"/>
      <c r="L94" s="13"/>
      <c r="M94" s="112"/>
      <c r="N94" s="80"/>
      <c r="O94" s="18"/>
    </row>
    <row r="95" spans="1:15">
      <c r="A95" s="54"/>
      <c r="B95" s="14"/>
      <c r="C95" s="56"/>
      <c r="D95" s="14"/>
      <c r="E95" s="150"/>
      <c r="F95" s="17"/>
      <c r="G95" s="149"/>
      <c r="H95" s="151"/>
      <c r="I95" s="13"/>
      <c r="J95" s="13"/>
      <c r="K95" s="13"/>
      <c r="L95" s="13"/>
      <c r="M95" s="112"/>
      <c r="N95" s="80"/>
      <c r="O95" s="18"/>
    </row>
    <row r="96" spans="1:15">
      <c r="A96" s="54"/>
      <c r="B96" s="14"/>
      <c r="C96" s="56"/>
      <c r="D96" s="14"/>
      <c r="E96" s="148"/>
      <c r="F96" s="17"/>
      <c r="G96" s="149"/>
      <c r="H96" s="13"/>
      <c r="I96" s="13"/>
      <c r="J96" s="13"/>
      <c r="K96" s="13"/>
      <c r="L96" s="13"/>
      <c r="M96" s="112"/>
      <c r="N96" s="80"/>
      <c r="O96" s="18"/>
    </row>
    <row r="97" spans="1:15">
      <c r="A97" s="54"/>
      <c r="B97" s="14"/>
      <c r="C97" s="56"/>
      <c r="D97" s="14"/>
      <c r="E97" s="150"/>
      <c r="F97" s="17"/>
      <c r="G97" s="149"/>
      <c r="H97" s="151"/>
      <c r="I97" s="13"/>
      <c r="J97" s="13"/>
      <c r="K97" s="13"/>
      <c r="L97" s="13"/>
      <c r="M97" s="112"/>
      <c r="N97" s="80"/>
      <c r="O97" s="18"/>
    </row>
    <row r="98" spans="1:15">
      <c r="A98" s="54"/>
      <c r="B98" s="14"/>
      <c r="C98" s="56"/>
      <c r="D98" s="14"/>
      <c r="E98" s="150"/>
      <c r="F98" s="17"/>
      <c r="G98" s="149"/>
      <c r="H98" s="151"/>
      <c r="I98" s="13"/>
      <c r="J98" s="13"/>
      <c r="K98" s="13"/>
      <c r="L98" s="13"/>
      <c r="M98" s="112"/>
      <c r="N98" s="80"/>
      <c r="O98" s="18"/>
    </row>
    <row r="99" spans="1:15">
      <c r="A99" s="54"/>
      <c r="B99" s="14"/>
      <c r="C99" s="56"/>
      <c r="D99" s="14"/>
      <c r="E99" s="148"/>
      <c r="F99" s="17"/>
      <c r="G99" s="149"/>
      <c r="H99" s="13"/>
      <c r="I99" s="13"/>
      <c r="J99" s="13"/>
      <c r="K99" s="13"/>
      <c r="L99" s="13"/>
      <c r="M99" s="112"/>
      <c r="N99" s="80"/>
      <c r="O99" s="18"/>
    </row>
    <row r="100" spans="1:15">
      <c r="A100" s="54"/>
      <c r="B100" s="14"/>
      <c r="C100" s="56"/>
      <c r="D100" s="14"/>
      <c r="E100" s="150"/>
      <c r="F100" s="17"/>
      <c r="G100" s="149"/>
      <c r="H100" s="151"/>
      <c r="I100" s="13"/>
      <c r="J100" s="13"/>
      <c r="K100" s="13"/>
      <c r="L100" s="13"/>
      <c r="M100" s="112"/>
      <c r="N100" s="80"/>
      <c r="O100" s="18"/>
    </row>
    <row r="101" spans="1:15">
      <c r="A101" s="54"/>
      <c r="B101" s="14"/>
      <c r="C101" s="56"/>
      <c r="D101" s="14"/>
      <c r="E101" s="150"/>
      <c r="F101" s="17"/>
      <c r="G101" s="149"/>
      <c r="H101" s="151"/>
      <c r="I101" s="13"/>
      <c r="J101" s="13"/>
      <c r="K101" s="13"/>
      <c r="L101" s="13"/>
      <c r="M101" s="112"/>
      <c r="N101" s="80"/>
      <c r="O101" s="18"/>
    </row>
    <row r="102" spans="1:15">
      <c r="A102" s="54"/>
      <c r="B102" s="14"/>
      <c r="C102" s="56"/>
      <c r="D102" s="14"/>
      <c r="E102" s="148"/>
      <c r="F102" s="17"/>
      <c r="G102" s="149"/>
      <c r="H102" s="13"/>
      <c r="I102" s="13"/>
      <c r="J102" s="13"/>
      <c r="K102" s="13"/>
      <c r="L102" s="13"/>
      <c r="M102" s="112"/>
      <c r="N102" s="80"/>
      <c r="O102" s="18"/>
    </row>
    <row r="103" spans="1:15">
      <c r="A103" s="54"/>
      <c r="B103" s="14"/>
      <c r="C103" s="56"/>
      <c r="D103" s="14"/>
      <c r="E103" s="150"/>
      <c r="F103" s="17"/>
      <c r="G103" s="149"/>
      <c r="H103" s="151"/>
      <c r="I103" s="13"/>
      <c r="J103" s="13"/>
      <c r="K103" s="13"/>
      <c r="L103" s="13"/>
      <c r="M103" s="112"/>
      <c r="N103" s="80"/>
      <c r="O103" s="18"/>
    </row>
    <row r="104" spans="1:15">
      <c r="A104" s="54"/>
      <c r="B104" s="14"/>
      <c r="C104" s="56"/>
      <c r="D104" s="14"/>
      <c r="E104" s="150"/>
      <c r="F104" s="17"/>
      <c r="G104" s="149"/>
      <c r="H104" s="151"/>
      <c r="I104" s="13"/>
      <c r="J104" s="13"/>
      <c r="K104" s="13"/>
      <c r="L104" s="13"/>
      <c r="M104" s="112"/>
      <c r="N104" s="80"/>
      <c r="O104" s="18"/>
    </row>
    <row r="105" spans="1:15">
      <c r="A105" s="54"/>
      <c r="B105" s="14"/>
      <c r="C105" s="56"/>
      <c r="D105" s="14"/>
      <c r="E105" s="148"/>
      <c r="F105" s="17"/>
      <c r="G105" s="149"/>
      <c r="H105" s="13"/>
      <c r="I105" s="13"/>
      <c r="J105" s="13"/>
      <c r="K105" s="13"/>
      <c r="L105" s="13"/>
      <c r="M105" s="112"/>
      <c r="N105" s="80"/>
      <c r="O105" s="18"/>
    </row>
    <row r="106" spans="1:15">
      <c r="A106" s="54"/>
      <c r="B106" s="14"/>
      <c r="C106" s="56"/>
      <c r="D106" s="14"/>
      <c r="E106" s="150"/>
      <c r="F106" s="17"/>
      <c r="G106" s="149"/>
      <c r="H106" s="151"/>
      <c r="I106" s="13"/>
      <c r="J106" s="13"/>
      <c r="K106" s="13"/>
      <c r="L106" s="13"/>
      <c r="M106" s="112"/>
      <c r="N106" s="80"/>
      <c r="O106" s="18"/>
    </row>
    <row r="107" spans="1:15">
      <c r="A107" s="54"/>
      <c r="B107" s="14"/>
      <c r="C107" s="56"/>
      <c r="D107" s="14"/>
      <c r="E107" s="150"/>
      <c r="F107" s="17"/>
      <c r="G107" s="149"/>
      <c r="H107" s="151"/>
      <c r="I107" s="13"/>
      <c r="J107" s="13"/>
      <c r="K107" s="13"/>
      <c r="L107" s="13"/>
      <c r="M107" s="112"/>
      <c r="N107" s="80"/>
      <c r="O107" s="18"/>
    </row>
    <row r="108" spans="1:15">
      <c r="A108" s="54"/>
      <c r="B108" s="14"/>
      <c r="C108" s="56"/>
      <c r="D108" s="14"/>
      <c r="E108" s="148"/>
      <c r="F108" s="17"/>
      <c r="G108" s="149"/>
      <c r="H108" s="13"/>
      <c r="I108" s="13"/>
      <c r="J108" s="13"/>
      <c r="K108" s="13"/>
      <c r="L108" s="13"/>
      <c r="M108" s="112"/>
      <c r="N108" s="80"/>
      <c r="O108" s="18"/>
    </row>
    <row r="109" spans="1:15">
      <c r="A109" s="54"/>
      <c r="B109" s="14"/>
      <c r="C109" s="56"/>
      <c r="D109" s="14"/>
      <c r="E109" s="150"/>
      <c r="F109" s="17"/>
      <c r="G109" s="149"/>
      <c r="H109" s="151"/>
      <c r="I109" s="13"/>
      <c r="J109" s="13"/>
      <c r="K109" s="13"/>
      <c r="L109" s="13"/>
      <c r="M109" s="112"/>
      <c r="N109" s="80"/>
      <c r="O109" s="18"/>
    </row>
    <row r="110" spans="1:15">
      <c r="A110" s="54"/>
      <c r="B110" s="14"/>
      <c r="C110" s="56"/>
      <c r="D110" s="14"/>
      <c r="E110" s="150"/>
      <c r="F110" s="17"/>
      <c r="G110" s="149"/>
      <c r="H110" s="151"/>
      <c r="I110" s="13"/>
      <c r="J110" s="13"/>
      <c r="K110" s="13"/>
      <c r="L110" s="13"/>
      <c r="M110" s="112"/>
      <c r="N110" s="80"/>
      <c r="O110" s="18"/>
    </row>
    <row r="111" spans="1:15">
      <c r="A111" s="54"/>
      <c r="B111" s="14"/>
      <c r="C111" s="56"/>
      <c r="D111" s="14"/>
      <c r="E111" s="148"/>
      <c r="F111" s="17"/>
      <c r="G111" s="149"/>
      <c r="H111" s="13"/>
      <c r="I111" s="13"/>
      <c r="J111" s="13"/>
      <c r="K111" s="13"/>
      <c r="L111" s="13"/>
      <c r="M111" s="112"/>
      <c r="N111" s="80"/>
      <c r="O111" s="18"/>
    </row>
    <row r="112" spans="1:15">
      <c r="A112" s="54"/>
      <c r="B112" s="14"/>
      <c r="C112" s="56"/>
      <c r="D112" s="14"/>
      <c r="E112" s="150"/>
      <c r="F112" s="17"/>
      <c r="G112" s="149"/>
      <c r="H112" s="151"/>
      <c r="I112" s="13"/>
      <c r="J112" s="13"/>
      <c r="K112" s="13"/>
      <c r="L112" s="13"/>
      <c r="M112" s="112"/>
      <c r="N112" s="80"/>
      <c r="O112" s="18"/>
    </row>
    <row r="113" spans="1:15">
      <c r="A113" s="54"/>
      <c r="B113" s="14"/>
      <c r="C113" s="56"/>
      <c r="D113" s="14"/>
      <c r="E113" s="150"/>
      <c r="F113" s="17"/>
      <c r="G113" s="149"/>
      <c r="H113" s="151"/>
      <c r="I113" s="13"/>
      <c r="J113" s="13"/>
      <c r="K113" s="13"/>
      <c r="L113" s="13"/>
      <c r="M113" s="112"/>
      <c r="N113" s="80"/>
      <c r="O113" s="18"/>
    </row>
    <row r="114" spans="1:15">
      <c r="A114" s="54"/>
      <c r="B114" s="14"/>
      <c r="C114" s="56"/>
      <c r="D114" s="14"/>
      <c r="E114" s="148"/>
      <c r="F114" s="17"/>
      <c r="G114" s="149"/>
      <c r="H114" s="13"/>
      <c r="I114" s="13"/>
      <c r="J114" s="13"/>
      <c r="K114" s="13"/>
      <c r="L114" s="13"/>
      <c r="M114" s="112"/>
      <c r="N114" s="80"/>
      <c r="O114" s="18"/>
    </row>
    <row r="115" spans="1:15">
      <c r="A115" s="162"/>
      <c r="B115" s="14"/>
      <c r="C115" s="56"/>
      <c r="D115" s="14"/>
      <c r="E115" s="150"/>
      <c r="F115" s="17"/>
      <c r="G115" s="149"/>
      <c r="H115" s="151"/>
      <c r="I115" s="13"/>
      <c r="J115" s="13"/>
      <c r="K115" s="13"/>
      <c r="L115" s="13"/>
      <c r="M115" s="112"/>
      <c r="N115" s="80"/>
      <c r="O115" s="18"/>
    </row>
    <row r="116" spans="1:15">
      <c r="A116" s="54"/>
      <c r="B116" s="14"/>
      <c r="C116" s="56"/>
      <c r="D116" s="14"/>
      <c r="E116" s="150"/>
      <c r="F116" s="17"/>
      <c r="G116" s="149"/>
      <c r="H116" s="151"/>
      <c r="I116" s="13"/>
      <c r="J116" s="13"/>
      <c r="K116" s="13"/>
      <c r="L116" s="13"/>
      <c r="M116" s="112"/>
      <c r="N116" s="80"/>
      <c r="O116" s="18"/>
    </row>
    <row r="117" spans="1:15">
      <c r="A117" s="162"/>
      <c r="B117" s="14"/>
      <c r="C117" s="56"/>
      <c r="D117" s="14"/>
      <c r="E117" s="148"/>
      <c r="F117" s="17"/>
      <c r="G117" s="149"/>
      <c r="H117" s="13"/>
      <c r="I117" s="13"/>
      <c r="J117" s="13"/>
      <c r="K117" s="13"/>
      <c r="L117" s="13"/>
      <c r="M117" s="112"/>
      <c r="N117" s="80"/>
      <c r="O117" s="18"/>
    </row>
    <row r="118" spans="1:15">
      <c r="A118" s="54"/>
      <c r="B118" s="14"/>
      <c r="C118" s="56"/>
      <c r="D118" s="14"/>
      <c r="E118" s="150"/>
      <c r="F118" s="17"/>
      <c r="G118" s="149"/>
      <c r="H118" s="151"/>
      <c r="I118" s="13"/>
      <c r="J118" s="13"/>
      <c r="K118" s="13"/>
      <c r="L118" s="13"/>
      <c r="M118" s="112"/>
      <c r="N118" s="80"/>
      <c r="O118" s="18"/>
    </row>
    <row r="119" spans="1:15">
      <c r="A119" s="162"/>
      <c r="B119" s="14"/>
      <c r="C119" s="56"/>
      <c r="D119" s="14"/>
      <c r="E119" s="150"/>
      <c r="F119" s="17"/>
      <c r="G119" s="149"/>
      <c r="H119" s="151"/>
      <c r="I119" s="13"/>
      <c r="J119" s="13"/>
      <c r="K119" s="13"/>
      <c r="L119" s="13"/>
      <c r="M119" s="112"/>
      <c r="N119" s="80"/>
      <c r="O119" s="18"/>
    </row>
    <row r="120" spans="1:15">
      <c r="A120" s="54"/>
      <c r="B120" s="14"/>
      <c r="C120" s="56"/>
      <c r="D120" s="14"/>
      <c r="E120" s="148"/>
      <c r="F120" s="17"/>
      <c r="G120" s="149"/>
      <c r="H120" s="13"/>
      <c r="I120" s="13"/>
      <c r="J120" s="13"/>
      <c r="K120" s="13"/>
      <c r="L120" s="13"/>
      <c r="M120" s="112"/>
      <c r="N120" s="80"/>
      <c r="O120" s="18"/>
    </row>
    <row r="121" spans="1:15">
      <c r="A121" s="162"/>
      <c r="B121" s="14"/>
      <c r="C121" s="56"/>
      <c r="D121" s="14"/>
      <c r="E121" s="150"/>
      <c r="F121" s="17"/>
      <c r="G121" s="149"/>
      <c r="H121" s="151"/>
      <c r="I121" s="13"/>
      <c r="J121" s="13"/>
      <c r="K121" s="13"/>
      <c r="L121" s="13"/>
      <c r="M121" s="112"/>
      <c r="N121" s="80"/>
      <c r="O121" s="18"/>
    </row>
    <row r="122" spans="1:15">
      <c r="A122" s="54"/>
      <c r="B122" s="14"/>
      <c r="C122" s="56"/>
      <c r="D122" s="14"/>
      <c r="E122" s="150"/>
      <c r="F122" s="17"/>
      <c r="G122" s="149"/>
      <c r="H122" s="151"/>
      <c r="I122" s="13"/>
      <c r="J122" s="13"/>
      <c r="K122" s="13"/>
      <c r="L122" s="13"/>
      <c r="M122" s="112"/>
      <c r="N122" s="80"/>
      <c r="O122" s="18"/>
    </row>
    <row r="123" spans="1:15">
      <c r="A123" s="162"/>
      <c r="B123" s="14"/>
      <c r="C123" s="56"/>
      <c r="D123" s="14"/>
      <c r="E123" s="148"/>
      <c r="F123" s="17"/>
      <c r="G123" s="149"/>
      <c r="H123" s="13"/>
      <c r="I123" s="13"/>
      <c r="J123" s="13"/>
      <c r="K123" s="13"/>
      <c r="L123" s="13"/>
      <c r="M123" s="112"/>
      <c r="N123" s="80"/>
      <c r="O123" s="18"/>
    </row>
    <row r="124" spans="1:15">
      <c r="A124" s="54"/>
      <c r="B124" s="14"/>
      <c r="C124" s="56"/>
      <c r="D124" s="14"/>
      <c r="E124" s="150"/>
      <c r="F124" s="17"/>
      <c r="G124" s="149"/>
      <c r="H124" s="151"/>
      <c r="I124" s="13"/>
      <c r="J124" s="13"/>
      <c r="K124" s="13"/>
      <c r="L124" s="13"/>
      <c r="M124" s="112"/>
      <c r="N124" s="80"/>
      <c r="O124" s="18"/>
    </row>
    <row r="125" spans="1:15">
      <c r="A125" s="162"/>
      <c r="B125" s="14"/>
      <c r="C125" s="56"/>
      <c r="D125" s="14"/>
      <c r="E125" s="150"/>
      <c r="F125" s="17"/>
      <c r="G125" s="149"/>
      <c r="H125" s="151"/>
      <c r="I125" s="13"/>
      <c r="J125" s="13"/>
      <c r="K125" s="13"/>
      <c r="L125" s="13"/>
      <c r="M125" s="112"/>
      <c r="N125" s="80"/>
      <c r="O125" s="18"/>
    </row>
    <row r="126" spans="1:15">
      <c r="A126" s="54"/>
      <c r="B126" s="14"/>
      <c r="C126" s="56"/>
      <c r="D126" s="14"/>
      <c r="E126" s="148"/>
      <c r="F126" s="17"/>
      <c r="G126" s="149"/>
      <c r="H126" s="13"/>
      <c r="I126" s="13"/>
      <c r="J126" s="13"/>
      <c r="K126" s="13"/>
      <c r="L126" s="13"/>
      <c r="M126" s="112"/>
      <c r="N126" s="80"/>
      <c r="O126" s="18"/>
    </row>
    <row r="127" spans="1:15">
      <c r="A127" s="162"/>
      <c r="B127" s="14"/>
      <c r="C127" s="56"/>
      <c r="D127" s="14"/>
      <c r="E127" s="150"/>
      <c r="F127" s="17"/>
      <c r="G127" s="149"/>
      <c r="H127" s="151"/>
      <c r="I127" s="13"/>
      <c r="J127" s="13"/>
      <c r="K127" s="13"/>
      <c r="L127" s="13"/>
      <c r="M127" s="112"/>
      <c r="N127" s="80"/>
      <c r="O127" s="18"/>
    </row>
    <row r="128" spans="1:15">
      <c r="A128" s="54"/>
      <c r="B128" s="14"/>
      <c r="C128" s="56"/>
      <c r="D128" s="14"/>
      <c r="E128" s="150"/>
      <c r="F128" s="17"/>
      <c r="G128" s="149"/>
      <c r="H128" s="151"/>
      <c r="I128" s="13"/>
      <c r="J128" s="13"/>
      <c r="K128" s="13"/>
      <c r="L128" s="13"/>
      <c r="M128" s="112"/>
      <c r="N128" s="80"/>
      <c r="O128" s="18"/>
    </row>
    <row r="129" spans="1:15">
      <c r="A129" s="162"/>
      <c r="B129" s="14"/>
      <c r="C129" s="56"/>
      <c r="D129" s="14"/>
      <c r="E129" s="148"/>
      <c r="F129" s="17"/>
      <c r="G129" s="149"/>
      <c r="H129" s="13"/>
      <c r="I129" s="13"/>
      <c r="J129" s="13"/>
      <c r="K129" s="13"/>
      <c r="L129" s="13"/>
      <c r="M129" s="112"/>
      <c r="N129" s="80"/>
      <c r="O129" s="18"/>
    </row>
    <row r="130" spans="1:15">
      <c r="A130" s="54"/>
      <c r="B130" s="14"/>
      <c r="C130" s="56"/>
      <c r="D130" s="14"/>
      <c r="E130" s="150"/>
      <c r="F130" s="17"/>
      <c r="G130" s="149"/>
      <c r="H130" s="151"/>
      <c r="I130" s="13"/>
      <c r="J130" s="13"/>
      <c r="K130" s="13"/>
      <c r="L130" s="13"/>
      <c r="M130" s="112"/>
      <c r="N130" s="80"/>
      <c r="O130" s="18"/>
    </row>
    <row r="131" spans="1:15">
      <c r="A131" s="162"/>
      <c r="B131" s="14"/>
      <c r="C131" s="56"/>
      <c r="D131" s="14"/>
      <c r="E131" s="150"/>
      <c r="F131" s="17"/>
      <c r="G131" s="149"/>
      <c r="H131" s="151"/>
      <c r="I131" s="13"/>
      <c r="J131" s="13"/>
      <c r="K131" s="13"/>
      <c r="L131" s="13"/>
      <c r="M131" s="112"/>
      <c r="N131" s="80"/>
      <c r="O131" s="18"/>
    </row>
    <row r="132" spans="1:15">
      <c r="A132" s="54"/>
      <c r="B132" s="14"/>
      <c r="C132" s="56"/>
      <c r="D132" s="14"/>
      <c r="E132" s="148"/>
      <c r="F132" s="17"/>
      <c r="G132" s="149"/>
      <c r="H132" s="13"/>
      <c r="I132" s="13"/>
      <c r="J132" s="13"/>
      <c r="K132" s="13"/>
      <c r="L132" s="13"/>
      <c r="M132" s="112"/>
      <c r="N132" s="80"/>
      <c r="O132" s="18"/>
    </row>
    <row r="133" spans="1:15">
      <c r="A133" s="162"/>
      <c r="B133" s="14"/>
      <c r="C133" s="56"/>
      <c r="D133" s="14"/>
      <c r="E133" s="150"/>
      <c r="F133" s="17"/>
      <c r="G133" s="149"/>
      <c r="H133" s="151"/>
      <c r="I133" s="13"/>
      <c r="J133" s="13"/>
      <c r="K133" s="13"/>
      <c r="L133" s="13"/>
      <c r="M133" s="112"/>
      <c r="N133" s="80"/>
      <c r="O133" s="18"/>
    </row>
    <row r="134" spans="1:15">
      <c r="A134" s="54"/>
      <c r="B134" s="14"/>
      <c r="C134" s="56"/>
      <c r="D134" s="14"/>
      <c r="E134" s="150"/>
      <c r="F134" s="17"/>
      <c r="G134" s="149"/>
      <c r="H134" s="151"/>
      <c r="I134" s="13"/>
      <c r="J134" s="13"/>
      <c r="K134" s="13"/>
      <c r="L134" s="13"/>
      <c r="M134" s="112"/>
      <c r="N134" s="80"/>
      <c r="O134" s="18"/>
    </row>
    <row r="135" spans="1:15">
      <c r="A135" s="162"/>
      <c r="B135" s="14"/>
      <c r="C135" s="56"/>
      <c r="D135" s="14"/>
      <c r="E135" s="148"/>
      <c r="F135" s="17"/>
      <c r="G135" s="149"/>
      <c r="H135" s="13"/>
      <c r="I135" s="13"/>
      <c r="J135" s="13"/>
      <c r="K135" s="13"/>
      <c r="L135" s="13"/>
      <c r="M135" s="112"/>
      <c r="N135" s="80"/>
      <c r="O135" s="18"/>
    </row>
    <row r="136" spans="1:15">
      <c r="A136" s="54"/>
      <c r="B136" s="14"/>
      <c r="C136" s="56"/>
      <c r="D136" s="14"/>
      <c r="E136" s="150"/>
      <c r="F136" s="17"/>
      <c r="G136" s="149"/>
      <c r="H136" s="151"/>
      <c r="I136" s="13"/>
      <c r="J136" s="13"/>
      <c r="K136" s="13"/>
      <c r="L136" s="13"/>
      <c r="M136" s="112"/>
      <c r="N136" s="80"/>
      <c r="O136" s="18"/>
    </row>
    <row r="137" spans="1:15">
      <c r="A137" s="162"/>
      <c r="B137" s="14"/>
      <c r="C137" s="56"/>
      <c r="D137" s="14"/>
      <c r="E137" s="150"/>
      <c r="F137" s="17"/>
      <c r="G137" s="149"/>
      <c r="H137" s="151"/>
      <c r="I137" s="13"/>
      <c r="J137" s="13"/>
      <c r="K137" s="13"/>
      <c r="L137" s="13"/>
      <c r="M137" s="112"/>
      <c r="N137" s="80"/>
      <c r="O137" s="18"/>
    </row>
    <row r="138" spans="1:15">
      <c r="A138" s="54"/>
      <c r="B138" s="14"/>
      <c r="C138" s="56"/>
      <c r="D138" s="14"/>
      <c r="E138" s="148"/>
      <c r="F138" s="17"/>
      <c r="G138" s="149"/>
      <c r="H138" s="13"/>
      <c r="I138" s="13"/>
      <c r="J138" s="13"/>
      <c r="K138" s="13"/>
      <c r="L138" s="13"/>
      <c r="M138" s="112"/>
      <c r="N138" s="80"/>
      <c r="O138" s="18"/>
    </row>
    <row r="139" spans="1:15">
      <c r="A139" s="162"/>
      <c r="B139" s="14"/>
      <c r="C139" s="56"/>
      <c r="D139" s="14"/>
      <c r="E139" s="150"/>
      <c r="F139" s="17"/>
      <c r="G139" s="149"/>
      <c r="H139" s="151"/>
      <c r="I139" s="13"/>
      <c r="J139" s="13"/>
      <c r="K139" s="13"/>
      <c r="L139" s="13"/>
      <c r="M139" s="112"/>
      <c r="N139" s="80"/>
      <c r="O139" s="18"/>
    </row>
    <row r="140" spans="1:15">
      <c r="A140" s="54"/>
      <c r="B140" s="14"/>
      <c r="C140" s="56"/>
      <c r="D140" s="14"/>
      <c r="E140" s="150"/>
      <c r="F140" s="17"/>
      <c r="G140" s="149"/>
      <c r="H140" s="151"/>
      <c r="I140" s="13"/>
      <c r="J140" s="13"/>
      <c r="K140" s="13"/>
      <c r="L140" s="13"/>
      <c r="M140" s="112"/>
      <c r="N140" s="80"/>
      <c r="O140" s="18"/>
    </row>
    <row r="141" spans="1:15">
      <c r="A141" s="162"/>
      <c r="B141" s="14"/>
      <c r="C141" s="56"/>
      <c r="D141" s="14"/>
      <c r="E141" s="148"/>
      <c r="F141" s="17"/>
      <c r="G141" s="149"/>
      <c r="H141" s="13"/>
      <c r="I141" s="13"/>
      <c r="J141" s="13"/>
      <c r="K141" s="13"/>
      <c r="L141" s="13"/>
      <c r="M141" s="112"/>
      <c r="N141" s="80"/>
      <c r="O141" s="18"/>
    </row>
    <row r="142" spans="1:15">
      <c r="A142" s="54"/>
      <c r="B142" s="14"/>
      <c r="C142" s="56"/>
      <c r="D142" s="14"/>
      <c r="E142" s="150"/>
      <c r="F142" s="17"/>
      <c r="G142" s="149"/>
      <c r="H142" s="151"/>
      <c r="I142" s="13"/>
      <c r="J142" s="13"/>
      <c r="K142" s="13"/>
      <c r="L142" s="13"/>
      <c r="M142" s="112"/>
      <c r="N142" s="18"/>
    </row>
    <row r="143" spans="1:15">
      <c r="A143" s="162"/>
      <c r="B143" s="14"/>
      <c r="C143" s="56"/>
      <c r="D143" s="14"/>
      <c r="E143" s="150"/>
      <c r="F143" s="17"/>
      <c r="G143" s="149"/>
      <c r="H143" s="151"/>
      <c r="I143" s="13"/>
      <c r="J143" s="13"/>
      <c r="K143" s="13"/>
      <c r="L143" s="13"/>
      <c r="M143" s="112"/>
      <c r="N143" s="18"/>
    </row>
    <row r="144" spans="1:15">
      <c r="A144" s="54"/>
      <c r="B144" s="14"/>
      <c r="C144" s="56"/>
      <c r="D144" s="14"/>
      <c r="E144" s="148"/>
      <c r="F144" s="17"/>
      <c r="G144" s="149"/>
      <c r="H144" s="13"/>
      <c r="I144" s="13"/>
      <c r="J144" s="13"/>
      <c r="K144" s="13"/>
      <c r="L144" s="13"/>
      <c r="M144" s="112"/>
      <c r="N144" s="18"/>
    </row>
    <row r="145" spans="1:14">
      <c r="A145" s="162"/>
      <c r="B145" s="14"/>
      <c r="C145" s="56"/>
      <c r="D145" s="14"/>
      <c r="E145" s="150"/>
      <c r="F145" s="17"/>
      <c r="G145" s="149"/>
      <c r="H145" s="151"/>
      <c r="I145" s="13"/>
      <c r="J145" s="13"/>
      <c r="K145" s="13"/>
      <c r="L145" s="13"/>
      <c r="M145" s="112"/>
      <c r="N145" s="18"/>
    </row>
    <row r="146" spans="1:14">
      <c r="A146" s="54"/>
      <c r="B146" s="14"/>
      <c r="C146" s="56"/>
      <c r="D146" s="14"/>
      <c r="E146" s="150"/>
      <c r="F146" s="17"/>
      <c r="G146" s="149"/>
      <c r="H146" s="151"/>
      <c r="I146" s="13"/>
      <c r="J146" s="13"/>
      <c r="K146" s="13"/>
      <c r="L146" s="13"/>
      <c r="M146" s="112"/>
      <c r="N146" s="18"/>
    </row>
    <row r="147" spans="1:14">
      <c r="A147" s="162"/>
      <c r="B147" s="14"/>
      <c r="C147" s="56"/>
      <c r="D147" s="14"/>
      <c r="E147" s="148"/>
      <c r="F147" s="17"/>
      <c r="G147" s="149"/>
      <c r="H147" s="13"/>
      <c r="I147" s="13"/>
      <c r="J147" s="13"/>
      <c r="K147" s="13"/>
      <c r="L147" s="13"/>
      <c r="M147" s="112"/>
      <c r="N147" s="18"/>
    </row>
    <row r="148" spans="1:14">
      <c r="A148" s="54"/>
      <c r="B148" s="14"/>
      <c r="C148" s="56"/>
      <c r="D148" s="14"/>
      <c r="E148" s="150"/>
      <c r="F148" s="17"/>
      <c r="G148" s="149"/>
      <c r="H148" s="151"/>
      <c r="I148" s="13"/>
      <c r="J148" s="13"/>
      <c r="K148" s="13"/>
      <c r="L148" s="13"/>
      <c r="M148" s="112"/>
      <c r="N148" s="18"/>
    </row>
    <row r="149" spans="1:14">
      <c r="A149" s="162"/>
      <c r="B149" s="14"/>
      <c r="C149" s="56"/>
      <c r="D149" s="14"/>
      <c r="E149" s="150"/>
      <c r="F149" s="17"/>
      <c r="G149" s="149"/>
      <c r="H149" s="151"/>
      <c r="I149" s="13"/>
      <c r="J149" s="13"/>
      <c r="K149" s="13"/>
      <c r="L149" s="13"/>
      <c r="M149" s="112"/>
      <c r="N149" s="18"/>
    </row>
    <row r="150" spans="1:14">
      <c r="A150" s="54"/>
      <c r="B150" s="14"/>
      <c r="C150" s="56"/>
      <c r="D150" s="14"/>
      <c r="E150" s="148"/>
      <c r="F150" s="17"/>
      <c r="G150" s="149"/>
      <c r="H150" s="13"/>
      <c r="I150" s="13"/>
      <c r="J150" s="13"/>
      <c r="K150" s="13"/>
      <c r="L150" s="13"/>
      <c r="M150" s="112"/>
      <c r="N150" s="18"/>
    </row>
    <row r="151" spans="1:14">
      <c r="A151" s="162"/>
      <c r="B151" s="14"/>
      <c r="C151" s="56"/>
      <c r="D151" s="14"/>
      <c r="E151" s="150"/>
      <c r="F151" s="17"/>
      <c r="G151" s="149"/>
      <c r="H151" s="151"/>
      <c r="I151" s="13"/>
      <c r="J151" s="13"/>
      <c r="K151" s="13"/>
      <c r="L151" s="13"/>
      <c r="M151" s="112"/>
      <c r="N151" s="18"/>
    </row>
    <row r="152" spans="1:14">
      <c r="A152" s="54"/>
      <c r="B152" s="14"/>
      <c r="C152" s="56"/>
      <c r="D152" s="14"/>
      <c r="E152" s="150"/>
      <c r="F152" s="17"/>
      <c r="G152" s="149"/>
      <c r="H152" s="151"/>
      <c r="I152" s="13"/>
      <c r="J152" s="13"/>
      <c r="K152" s="13"/>
      <c r="L152" s="13"/>
      <c r="M152" s="112"/>
      <c r="N152" s="18"/>
    </row>
    <row r="153" spans="1:14">
      <c r="A153" s="162"/>
      <c r="B153" s="14"/>
      <c r="C153" s="56"/>
      <c r="D153" s="14"/>
      <c r="E153" s="148"/>
      <c r="F153" s="17"/>
      <c r="G153" s="149"/>
      <c r="H153" s="13"/>
      <c r="I153" s="13"/>
      <c r="J153" s="13"/>
      <c r="K153" s="13"/>
      <c r="L153" s="13"/>
      <c r="M153" s="112"/>
      <c r="N153" s="18"/>
    </row>
    <row r="154" spans="1:14">
      <c r="A154" s="54"/>
      <c r="B154" s="14"/>
      <c r="C154" s="56"/>
      <c r="D154" s="14"/>
      <c r="E154" s="150"/>
      <c r="F154" s="17"/>
      <c r="G154" s="149"/>
      <c r="H154" s="151"/>
      <c r="I154" s="13"/>
      <c r="J154" s="13"/>
      <c r="K154" s="13"/>
      <c r="L154" s="13"/>
      <c r="M154" s="112"/>
      <c r="N154" s="18"/>
    </row>
    <row r="155" spans="1:14">
      <c r="A155" s="162"/>
      <c r="B155" s="14"/>
      <c r="C155" s="56"/>
      <c r="D155" s="14"/>
      <c r="E155" s="150"/>
      <c r="F155" s="17"/>
      <c r="G155" s="149"/>
      <c r="H155" s="151"/>
      <c r="I155" s="13"/>
      <c r="J155" s="13"/>
      <c r="K155" s="13"/>
      <c r="L155" s="13"/>
      <c r="M155" s="112"/>
      <c r="N155" s="18"/>
    </row>
    <row r="156" spans="1:14">
      <c r="A156" s="54"/>
      <c r="B156" s="14"/>
      <c r="C156" s="56"/>
      <c r="D156" s="14"/>
      <c r="E156" s="148"/>
      <c r="F156" s="17"/>
      <c r="G156" s="149"/>
      <c r="H156" s="13"/>
      <c r="I156" s="13"/>
      <c r="J156" s="13"/>
      <c r="K156" s="13"/>
      <c r="L156" s="13"/>
      <c r="M156" s="112"/>
      <c r="N156" s="18"/>
    </row>
    <row r="157" spans="1:14">
      <c r="A157" s="162"/>
      <c r="B157" s="14"/>
      <c r="C157" s="56"/>
      <c r="D157" s="14"/>
      <c r="E157" s="150"/>
      <c r="F157" s="17"/>
      <c r="G157" s="149"/>
      <c r="H157" s="151"/>
      <c r="I157" s="13"/>
      <c r="J157" s="13"/>
      <c r="K157" s="13"/>
      <c r="L157" s="13"/>
      <c r="M157" s="112"/>
      <c r="N157" s="18"/>
    </row>
    <row r="158" spans="1:14">
      <c r="A158" s="54"/>
      <c r="B158" s="14"/>
      <c r="C158" s="56"/>
      <c r="D158" s="14"/>
      <c r="E158" s="150"/>
      <c r="F158" s="17"/>
      <c r="G158" s="149"/>
      <c r="H158" s="151"/>
      <c r="I158" s="13"/>
      <c r="J158" s="13"/>
      <c r="K158" s="13"/>
      <c r="L158" s="13"/>
      <c r="M158" s="112"/>
      <c r="N158" s="18"/>
    </row>
    <row r="159" spans="1:14">
      <c r="A159" s="162"/>
      <c r="B159" s="14"/>
      <c r="C159" s="56"/>
      <c r="D159" s="14"/>
      <c r="E159" s="148"/>
      <c r="F159" s="17"/>
      <c r="G159" s="149"/>
      <c r="H159" s="13"/>
      <c r="I159" s="13"/>
      <c r="J159" s="13"/>
      <c r="K159" s="13"/>
      <c r="L159" s="13"/>
      <c r="M159" s="112"/>
      <c r="N159" s="18"/>
    </row>
    <row r="160" spans="1:14">
      <c r="A160" s="54"/>
      <c r="B160" s="14"/>
      <c r="C160" s="56"/>
      <c r="D160" s="14"/>
      <c r="E160" s="150"/>
      <c r="F160" s="17"/>
      <c r="G160" s="149"/>
      <c r="H160" s="151"/>
      <c r="I160" s="13"/>
      <c r="J160" s="13"/>
      <c r="K160" s="13"/>
      <c r="L160" s="13"/>
      <c r="M160" s="112"/>
      <c r="N160" s="18"/>
    </row>
    <row r="161" spans="1:14">
      <c r="A161" s="162"/>
      <c r="B161" s="14"/>
      <c r="C161" s="56"/>
      <c r="D161" s="14"/>
      <c r="E161" s="150"/>
      <c r="F161" s="17"/>
      <c r="G161" s="149"/>
      <c r="H161" s="151"/>
      <c r="I161" s="13"/>
      <c r="J161" s="13"/>
      <c r="K161" s="13"/>
      <c r="L161" s="13"/>
      <c r="M161" s="112"/>
      <c r="N161" s="18"/>
    </row>
    <row r="162" spans="1:14">
      <c r="A162" s="54"/>
      <c r="B162" s="14"/>
      <c r="C162" s="14"/>
      <c r="D162" s="14"/>
      <c r="E162" s="14"/>
      <c r="F162" s="14"/>
      <c r="G162" s="14"/>
      <c r="H162" s="14"/>
      <c r="I162" s="14"/>
      <c r="J162" s="14"/>
      <c r="K162" s="14"/>
      <c r="L162" s="14"/>
      <c r="M162" s="112"/>
      <c r="N162" s="18"/>
    </row>
    <row r="163" spans="1:14">
      <c r="A163" s="162"/>
      <c r="B163" s="14"/>
      <c r="C163" s="14"/>
      <c r="D163" s="14"/>
      <c r="E163" s="14"/>
      <c r="F163" s="14"/>
      <c r="G163" s="14"/>
      <c r="H163" s="14"/>
      <c r="I163" s="14"/>
      <c r="J163" s="14"/>
      <c r="K163" s="14"/>
      <c r="L163" s="14"/>
      <c r="M163" s="112"/>
      <c r="N163" s="18"/>
    </row>
    <row r="164" spans="1:14">
      <c r="A164" s="14"/>
      <c r="B164" s="14"/>
      <c r="C164" s="14"/>
      <c r="D164" s="14"/>
      <c r="E164" s="14"/>
      <c r="F164" s="14"/>
      <c r="G164" s="14"/>
      <c r="H164" s="14"/>
      <c r="I164" s="14"/>
      <c r="J164" s="14"/>
      <c r="K164" s="14"/>
      <c r="L164" s="14"/>
      <c r="M164" s="112"/>
      <c r="N164" s="18"/>
    </row>
    <row r="165" spans="1:14">
      <c r="A165" s="14"/>
      <c r="B165" s="14"/>
      <c r="C165" s="14"/>
      <c r="D165" s="14"/>
      <c r="E165" s="14"/>
      <c r="F165" s="14"/>
      <c r="G165" s="14"/>
      <c r="H165" s="14"/>
      <c r="I165" s="14"/>
      <c r="J165" s="14"/>
      <c r="K165" s="14"/>
      <c r="L165" s="14"/>
      <c r="M165" s="112"/>
      <c r="N165" s="18"/>
    </row>
    <row r="166" spans="1:14">
      <c r="A166" s="14"/>
      <c r="B166" s="14"/>
      <c r="C166" s="14"/>
      <c r="D166" s="14"/>
      <c r="E166" s="14"/>
      <c r="F166" s="14"/>
      <c r="G166" s="14"/>
      <c r="H166" s="14"/>
      <c r="I166" s="14"/>
      <c r="J166" s="14"/>
      <c r="K166" s="14"/>
      <c r="L166" s="14"/>
      <c r="M166" s="112"/>
      <c r="N166" s="18"/>
    </row>
    <row r="167" spans="1:14">
      <c r="A167" s="14"/>
      <c r="B167" s="14"/>
      <c r="C167" s="14"/>
      <c r="D167" s="14"/>
      <c r="E167" s="14"/>
      <c r="F167" s="14"/>
      <c r="G167" s="14"/>
      <c r="H167" s="14"/>
      <c r="I167" s="14"/>
      <c r="J167" s="14"/>
      <c r="K167" s="14"/>
      <c r="L167" s="14"/>
      <c r="M167" s="112"/>
      <c r="N167" s="18"/>
    </row>
    <row r="168" spans="1:14">
      <c r="A168" s="14"/>
      <c r="B168" s="14"/>
      <c r="C168" s="14"/>
      <c r="D168" s="14"/>
      <c r="E168" s="14"/>
      <c r="F168" s="14"/>
      <c r="G168" s="14"/>
      <c r="H168" s="14"/>
      <c r="I168" s="14"/>
      <c r="J168" s="14"/>
      <c r="K168" s="14"/>
      <c r="L168" s="14"/>
      <c r="M168" s="112"/>
      <c r="N168" s="18"/>
    </row>
    <row r="169" spans="1:14">
      <c r="A169" s="14"/>
      <c r="B169" s="14"/>
      <c r="C169" s="14"/>
      <c r="D169" s="14"/>
      <c r="E169" s="14"/>
      <c r="F169" s="14"/>
      <c r="G169" s="14"/>
      <c r="H169" s="14"/>
      <c r="I169" s="14"/>
      <c r="J169" s="14"/>
      <c r="K169" s="14"/>
      <c r="L169" s="14"/>
      <c r="M169" s="112"/>
      <c r="N169" s="18"/>
    </row>
    <row r="170" spans="1:14">
      <c r="A170" s="14"/>
      <c r="B170" s="14"/>
      <c r="C170" s="14"/>
      <c r="D170" s="14"/>
      <c r="E170" s="14"/>
      <c r="F170" s="14"/>
      <c r="G170" s="14"/>
      <c r="H170" s="14"/>
      <c r="I170" s="14"/>
      <c r="J170" s="14"/>
      <c r="K170" s="14"/>
      <c r="L170" s="14"/>
      <c r="M170" s="112"/>
      <c r="N170" s="18"/>
    </row>
    <row r="171" spans="1:14">
      <c r="A171" s="14"/>
      <c r="B171" s="14"/>
      <c r="C171" s="14"/>
      <c r="D171" s="14"/>
      <c r="E171" s="14"/>
      <c r="F171" s="14"/>
      <c r="G171" s="14"/>
      <c r="H171" s="14"/>
      <c r="I171" s="14"/>
      <c r="J171" s="14"/>
      <c r="K171" s="14"/>
      <c r="L171" s="14"/>
      <c r="M171" s="112"/>
      <c r="N171" s="18"/>
    </row>
    <row r="172" spans="1:14">
      <c r="A172" s="14"/>
      <c r="B172" s="14"/>
      <c r="C172" s="14"/>
      <c r="D172" s="14"/>
      <c r="E172" s="14"/>
      <c r="F172" s="14"/>
      <c r="G172" s="14"/>
      <c r="H172" s="14"/>
      <c r="I172" s="14"/>
      <c r="J172" s="14"/>
      <c r="K172" s="14"/>
      <c r="L172" s="14"/>
      <c r="M172" s="112"/>
      <c r="N172" s="18"/>
    </row>
    <row r="173" spans="1:14">
      <c r="A173" s="14"/>
      <c r="B173" s="14"/>
      <c r="C173" s="14"/>
      <c r="D173" s="14"/>
      <c r="E173" s="14"/>
      <c r="F173" s="14"/>
      <c r="G173" s="14"/>
      <c r="H173" s="14"/>
      <c r="I173" s="14"/>
      <c r="J173" s="14"/>
      <c r="K173" s="14"/>
      <c r="L173" s="14"/>
      <c r="M173" s="112"/>
      <c r="N173" s="18"/>
    </row>
    <row r="174" spans="1:14">
      <c r="A174" s="15"/>
      <c r="B174" s="15"/>
      <c r="C174" s="15"/>
      <c r="D174" s="15"/>
      <c r="F174" s="15"/>
      <c r="G174" s="15"/>
      <c r="J174" s="15"/>
      <c r="L174" s="15"/>
      <c r="M174" s="113"/>
    </row>
    <row r="175" spans="1:14">
      <c r="A175" s="15"/>
      <c r="B175" s="15"/>
      <c r="C175" s="15"/>
      <c r="D175" s="15"/>
      <c r="F175" s="15"/>
      <c r="G175" s="15"/>
      <c r="J175" s="15"/>
      <c r="L175" s="15"/>
      <c r="M175" s="113"/>
    </row>
    <row r="176" spans="1:14">
      <c r="A176" s="15"/>
      <c r="B176" s="15"/>
      <c r="C176" s="15"/>
      <c r="D176" s="15"/>
      <c r="F176" s="15"/>
      <c r="G176" s="15"/>
      <c r="J176" s="15"/>
      <c r="L176" s="15"/>
      <c r="M176" s="113"/>
    </row>
    <row r="177" spans="1:13">
      <c r="A177" s="15"/>
      <c r="B177" s="15"/>
      <c r="C177" s="15"/>
      <c r="D177" s="15"/>
      <c r="F177" s="15"/>
      <c r="G177" s="15"/>
      <c r="J177" s="15"/>
      <c r="L177" s="15"/>
      <c r="M177" s="113"/>
    </row>
    <row r="178" spans="1:13">
      <c r="A178" s="15"/>
      <c r="B178" s="15"/>
      <c r="C178" s="15"/>
      <c r="D178" s="15"/>
      <c r="F178" s="15"/>
      <c r="G178" s="15"/>
      <c r="J178" s="15"/>
      <c r="L178" s="15"/>
      <c r="M178" s="113"/>
    </row>
    <row r="179" spans="1:13">
      <c r="A179" s="15"/>
      <c r="B179" s="15"/>
      <c r="C179" s="15"/>
      <c r="D179" s="15"/>
      <c r="F179" s="15"/>
      <c r="G179" s="15"/>
      <c r="J179" s="15"/>
      <c r="L179" s="15"/>
      <c r="M179" s="113"/>
    </row>
    <row r="180" spans="1:13">
      <c r="A180" s="15"/>
      <c r="B180" s="15"/>
      <c r="C180" s="15"/>
      <c r="D180" s="15"/>
      <c r="F180" s="15"/>
      <c r="G180" s="15"/>
      <c r="J180" s="15"/>
      <c r="L180" s="15"/>
      <c r="M180" s="113"/>
    </row>
    <row r="181" spans="1:13">
      <c r="A181" s="15"/>
      <c r="B181" s="15"/>
      <c r="C181" s="15"/>
      <c r="D181" s="15"/>
      <c r="F181" s="15"/>
      <c r="G181" s="15"/>
      <c r="J181" s="15"/>
      <c r="L181" s="15"/>
      <c r="M181" s="113"/>
    </row>
    <row r="182" spans="1:13">
      <c r="A182" s="15"/>
      <c r="B182" s="15"/>
      <c r="C182" s="15"/>
      <c r="D182" s="15"/>
      <c r="F182" s="15"/>
      <c r="G182" s="15"/>
      <c r="J182" s="15"/>
      <c r="L182" s="15"/>
      <c r="M182" s="113"/>
    </row>
    <row r="183" spans="1:13">
      <c r="A183" s="15"/>
      <c r="B183" s="15"/>
      <c r="C183" s="15"/>
      <c r="D183" s="15"/>
      <c r="F183" s="15"/>
      <c r="G183" s="15"/>
      <c r="J183" s="15"/>
      <c r="L183" s="15"/>
      <c r="M183" s="113"/>
    </row>
    <row r="184" spans="1:13">
      <c r="A184" s="15"/>
      <c r="B184" s="15"/>
      <c r="C184" s="15"/>
      <c r="D184" s="15"/>
      <c r="F184" s="15"/>
      <c r="G184" s="15"/>
      <c r="J184" s="15"/>
      <c r="L184" s="15"/>
      <c r="M184" s="113"/>
    </row>
    <row r="185" spans="1:13">
      <c r="A185" s="15"/>
      <c r="B185" s="15"/>
      <c r="C185" s="15"/>
      <c r="D185" s="15"/>
      <c r="F185" s="15"/>
      <c r="G185" s="15"/>
      <c r="J185" s="15"/>
      <c r="L185" s="15"/>
      <c r="M185" s="113"/>
    </row>
    <row r="186" spans="1:13">
      <c r="A186" s="15"/>
      <c r="B186" s="15"/>
      <c r="C186" s="15"/>
      <c r="D186" s="15"/>
      <c r="F186" s="15"/>
      <c r="G186" s="15"/>
      <c r="J186" s="15"/>
      <c r="L186" s="15"/>
      <c r="M186" s="113"/>
    </row>
    <row r="187" spans="1:13">
      <c r="A187" s="15"/>
      <c r="B187" s="15"/>
      <c r="C187" s="15"/>
      <c r="D187" s="15"/>
      <c r="F187" s="15"/>
      <c r="G187" s="15"/>
      <c r="J187" s="15"/>
      <c r="L187" s="15"/>
      <c r="M187" s="113"/>
    </row>
    <row r="188" spans="1:13">
      <c r="A188" s="15"/>
      <c r="B188" s="15"/>
      <c r="C188" s="15"/>
      <c r="D188" s="15"/>
      <c r="F188" s="15"/>
      <c r="G188" s="15"/>
      <c r="J188" s="15"/>
      <c r="L188" s="15"/>
      <c r="M188" s="113"/>
    </row>
    <row r="189" spans="1:13">
      <c r="A189" s="15"/>
      <c r="B189" s="15"/>
      <c r="C189" s="15"/>
      <c r="D189" s="15"/>
      <c r="F189" s="15"/>
      <c r="G189" s="15"/>
      <c r="J189" s="15"/>
      <c r="L189" s="15"/>
      <c r="M189" s="113"/>
    </row>
    <row r="190" spans="1:13">
      <c r="A190" s="15"/>
      <c r="B190" s="15"/>
      <c r="C190" s="15"/>
      <c r="D190" s="15"/>
      <c r="F190" s="15"/>
      <c r="G190" s="15"/>
      <c r="J190" s="15"/>
      <c r="L190" s="15"/>
      <c r="M190" s="113"/>
    </row>
  </sheetData>
  <autoFilter ref="A10:N163" xr:uid="{567D56FC-EA03-4E01-9B92-C6C1F3C183CD}">
    <filterColumn colId="1">
      <filters>
        <filter val="K2430020"/>
      </filters>
    </filterColumn>
  </autoFilter>
  <mergeCells count="12">
    <mergeCell ref="A9:E9"/>
    <mergeCell ref="A1:E1"/>
    <mergeCell ref="F1:I1"/>
    <mergeCell ref="A2:E2"/>
    <mergeCell ref="F2:I2"/>
    <mergeCell ref="A3:E3"/>
    <mergeCell ref="F3:I3"/>
    <mergeCell ref="A4:E4"/>
    <mergeCell ref="F4:I4"/>
    <mergeCell ref="A5:E6"/>
    <mergeCell ref="A7:E7"/>
    <mergeCell ref="A8:E8"/>
  </mergeCells>
  <conditionalFormatting sqref="AH21:AO21 M11:M87 M90 M93:M1048576">
    <cfRule type="cellIs" dxfId="8" priority="9" operator="equal">
      <formula>"Pass"</formula>
    </cfRule>
  </conditionalFormatting>
  <conditionalFormatting sqref="AH21:AO21 M11:M87 M90 M93:M1048576">
    <cfRule type="cellIs" dxfId="7" priority="8" operator="equal">
      <formula>"Fail"</formula>
    </cfRule>
  </conditionalFormatting>
  <conditionalFormatting sqref="AH21:AO21 M11:M87 M90 M93:M1048576">
    <cfRule type="cellIs" dxfId="6" priority="7" operator="equal">
      <formula>"Not Executed"</formula>
    </cfRule>
  </conditionalFormatting>
  <conditionalFormatting sqref="M88:M89">
    <cfRule type="cellIs" dxfId="5" priority="6" operator="equal">
      <formula>"Pass"</formula>
    </cfRule>
  </conditionalFormatting>
  <conditionalFormatting sqref="M88:M89">
    <cfRule type="cellIs" dxfId="4" priority="5" operator="equal">
      <formula>"Fail"</formula>
    </cfRule>
  </conditionalFormatting>
  <conditionalFormatting sqref="M88:M89">
    <cfRule type="cellIs" dxfId="3" priority="4" operator="equal">
      <formula>"Not Executed"</formula>
    </cfRule>
  </conditionalFormatting>
  <conditionalFormatting sqref="M91:M92">
    <cfRule type="cellIs" dxfId="2" priority="3" operator="equal">
      <formula>"Pass"</formula>
    </cfRule>
  </conditionalFormatting>
  <conditionalFormatting sqref="M91:M92">
    <cfRule type="cellIs" dxfId="1" priority="2" operator="equal">
      <formula>"Fail"</formula>
    </cfRule>
  </conditionalFormatting>
  <conditionalFormatting sqref="M91:M92">
    <cfRule type="cellIs" dxfId="0" priority="1" operator="equal">
      <formula>"Not Executed"</formula>
    </cfRule>
  </conditionalFormatting>
  <dataValidations count="2">
    <dataValidation type="list" allowBlank="1" showInputMessage="1" showErrorMessage="1" sqref="M11:M86" xr:uid="{1B5648CC-FB2D-45B5-AD9F-6EF76D74DFB1}">
      <formula1>"Not Executed,Pass,Fail"</formula1>
    </dataValidation>
    <dataValidation showInputMessage="1" showErrorMessage="1" sqref="L10" xr:uid="{7119047D-A7C4-4DBC-9DA2-1A68F795D8C5}"/>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Vishva (Intern - NPD/Electronic City/TVSMotor)</dc:creator>
  <cp:keywords/>
  <dc:description/>
  <cp:lastModifiedBy>Bharath Gullipilli (Partner - R&amp;D/Electronic City/TVSMotor)</cp:lastModifiedBy>
  <cp:revision/>
  <dcterms:created xsi:type="dcterms:W3CDTF">2025-10-09T06:02:37Z</dcterms:created>
  <dcterms:modified xsi:type="dcterms:W3CDTF">2025-12-09T06:52:16Z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b941a1e-f325-4a06-ae0c-5d5a067b801b_Enabled">
    <vt:lpwstr>true</vt:lpwstr>
  </property>
  <property fmtid="{D5CDD505-2E9C-101B-9397-08002B2CF9AE}" pid="3" name="MSIP_Label_0b941a1e-f325-4a06-ae0c-5d5a067b801b_SetDate">
    <vt:lpwstr>2025-10-09T06:03:31Z</vt:lpwstr>
  </property>
  <property fmtid="{D5CDD505-2E9C-101B-9397-08002B2CF9AE}" pid="4" name="MSIP_Label_0b941a1e-f325-4a06-ae0c-5d5a067b801b_Method">
    <vt:lpwstr>Privileged</vt:lpwstr>
  </property>
  <property fmtid="{D5CDD505-2E9C-101B-9397-08002B2CF9AE}" pid="5" name="MSIP_Label_0b941a1e-f325-4a06-ae0c-5d5a067b801b_Name">
    <vt:lpwstr>Internal</vt:lpwstr>
  </property>
  <property fmtid="{D5CDD505-2E9C-101B-9397-08002B2CF9AE}" pid="6" name="MSIP_Label_0b941a1e-f325-4a06-ae0c-5d5a067b801b_SiteId">
    <vt:lpwstr>d30feff3-78f9-476a-81e4-c71b80743988</vt:lpwstr>
  </property>
  <property fmtid="{D5CDD505-2E9C-101B-9397-08002B2CF9AE}" pid="7" name="MSIP_Label_0b941a1e-f325-4a06-ae0c-5d5a067b801b_ActionId">
    <vt:lpwstr>4ba6948c-68d7-4648-aa2b-1fe2f7b775f4</vt:lpwstr>
  </property>
  <property fmtid="{D5CDD505-2E9C-101B-9397-08002B2CF9AE}" pid="8" name="MSIP_Label_0b941a1e-f325-4a06-ae0c-5d5a067b801b_ContentBits">
    <vt:lpwstr>0</vt:lpwstr>
  </property>
  <property fmtid="{D5CDD505-2E9C-101B-9397-08002B2CF9AE}" pid="9" name="MSIP_Label_0b941a1e-f325-4a06-ae0c-5d5a067b801b_Tag">
    <vt:lpwstr>10, 0, 1, 2</vt:lpwstr>
  </property>
</Properties>
</file>